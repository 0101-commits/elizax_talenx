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00_읽는법" sheetId="1" state="visible" r:id="rId1"/>
    <sheet xmlns:r="http://schemas.openxmlformats.org/officeDocument/2006/relationships" name="01_신호목록" sheetId="2" state="visible" r:id="rId2"/>
    <sheet xmlns:r="http://schemas.openxmlformats.org/officeDocument/2006/relationships" name="02_칸점검" sheetId="3" state="visible" r:id="rId3"/>
    <sheet xmlns:r="http://schemas.openxmlformats.org/officeDocument/2006/relationships" name="03_문장·기록규칙" sheetId="4" state="visible" r:id="rId4"/>
  </sheets>
  <definedNames>
    <definedName name="_xlnm._FilterDatabase" localSheetId="1" hidden="1">'01_신호목록'!$A$2:$V$78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864"/>
      <sz val="16"/>
    </font>
    <font>
      <name val="맑은 고딕"/>
      <b val="1"/>
      <color rgb="00FFFFFF"/>
      <sz val="10"/>
    </font>
    <font>
      <name val="맑은 고딕"/>
      <sz val="10"/>
    </font>
    <font>
      <name val="맑은 고딕"/>
      <b val="1"/>
      <color rgb="001F3864"/>
      <sz val="12"/>
    </font>
    <font>
      <name val="맑은 고딕"/>
      <color rgb="00595959"/>
      <sz val="9"/>
    </font>
    <font>
      <name val="맑은 고딕"/>
      <b val="1"/>
      <color rgb="001F3864"/>
      <sz val="10"/>
    </font>
  </fonts>
  <fills count="11">
    <fill>
      <patternFill/>
    </fill>
    <fill>
      <patternFill patternType="gray125"/>
    </fill>
    <fill>
      <patternFill patternType="solid">
        <fgColor rgb="002F5597"/>
      </patternFill>
    </fill>
    <fill>
      <patternFill patternType="solid">
        <fgColor rgb="00F7F9FC"/>
      </patternFill>
    </fill>
    <fill>
      <patternFill patternType="solid">
        <fgColor rgb="001F7A6C"/>
      </patternFill>
    </fill>
    <fill>
      <patternFill patternType="solid">
        <fgColor rgb="00B45309"/>
      </patternFill>
    </fill>
    <fill>
      <patternFill patternType="solid">
        <fgColor rgb="004B5563"/>
      </patternFill>
    </fill>
    <fill>
      <patternFill patternType="solid">
        <fgColor rgb="00D9D9D9"/>
      </patternFill>
    </fill>
    <fill>
      <patternFill patternType="solid">
        <fgColor rgb="00FFC7CE"/>
      </patternFill>
    </fill>
    <fill>
      <patternFill patternType="solid">
        <fgColor rgb="00FFF2CC"/>
      </patternFill>
    </fill>
    <fill>
      <patternFill patternType="solid">
        <fgColor rgb="00EAEFF7"/>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0" pivotButton="0" quotePrefix="0" xfId="0"/>
    <xf numFmtId="0" fontId="3" fillId="0" borderId="0" applyAlignment="1" pivotButton="0" quotePrefix="0" xfId="0">
      <alignment vertical="top" wrapText="1"/>
    </xf>
    <xf numFmtId="0" fontId="5" fillId="0" borderId="0" applyAlignment="1" pivotButton="0" quotePrefix="0" xfId="0">
      <alignment vertical="top" wrapText="1"/>
    </xf>
    <xf numFmtId="0" fontId="5" fillId="0" borderId="0" pivotButton="0" quotePrefix="0" xfId="0"/>
    <xf numFmtId="0" fontId="0" fillId="0" borderId="4" pivotButton="0" quotePrefix="0" xfId="0"/>
    <xf numFmtId="0" fontId="0" fillId="0" borderId="5" pivotButton="0" quotePrefix="0" xfId="0"/>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3" fillId="0" borderId="1" applyAlignment="1" pivotButton="0" quotePrefix="0" xfId="0">
      <alignment horizontal="center" vertical="center" wrapText="1"/>
    </xf>
    <xf numFmtId="0" fontId="6" fillId="10" borderId="1" applyAlignment="1" pivotButton="0" quotePrefix="0" xfId="0">
      <alignment horizontal="center" vertical="center" wrapText="1"/>
    </xf>
    <xf numFmtId="0" fontId="0" fillId="0" borderId="1" pivotButton="0" quotePrefix="0" xfId="0"/>
    <xf numFmtId="0" fontId="6"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3" borderId="1" applyAlignment="1" pivotButton="0" quotePrefix="0" xfId="0">
      <alignment horizontal="center" vertical="center" wrapText="1"/>
    </xf>
  </cellXfs>
  <cellStyles count="1">
    <cellStyle name="Normal" xfId="0" builtinId="0" hidden="0"/>
  </cellStyles>
  <dxfs count="4">
    <dxf>
      <fill>
        <patternFill patternType="solid">
          <bgColor rgb="00D9D9D9"/>
        </patternFill>
      </fill>
    </dxf>
    <dxf>
      <fill>
        <patternFill patternType="solid">
          <bgColor rgb="00FFC7CE"/>
        </patternFill>
      </fill>
    </dxf>
    <dxf>
      <fill>
        <patternFill patternType="solid">
          <bgColor rgb="00FFF2CC"/>
        </patternFill>
      </fill>
    </dxf>
    <dxf>
      <fill>
        <patternFill patternType="solid">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172"/>
  <sheetViews>
    <sheetView showGridLines="0" workbookViewId="0">
      <selection activeCell="A1" sqref="A1"/>
    </sheetView>
  </sheetViews>
  <sheetFormatPr baseColWidth="8" defaultRowHeight="15"/>
  <cols>
    <col width="3" customWidth="1" min="1" max="1"/>
    <col width="22" customWidth="1" min="2" max="2"/>
    <col width="30" customWidth="1" min="3" max="3"/>
    <col width="58" customWidth="1" min="4" max="4"/>
    <col width="30" customWidth="1" min="5" max="5"/>
  </cols>
  <sheetData>
    <row r="2">
      <c r="B2" s="1" t="inlineStr">
        <is>
          <t>성과관리 AI Agent — 신호 카탈로그</t>
        </is>
      </c>
    </row>
    <row r="4">
      <c r="B4" s="2" t="inlineStr">
        <is>
          <t>항목</t>
        </is>
      </c>
      <c r="C4" s="2" t="inlineStr">
        <is>
          <t>내용</t>
        </is>
      </c>
      <c r="D4" s="2" t="inlineStr"/>
      <c r="E4" s="2" t="inlineStr"/>
    </row>
    <row r="5">
      <c r="B5" s="3" t="inlineStr">
        <is>
          <t>문서 성격</t>
        </is>
      </c>
      <c r="C5" s="3" t="inlineStr">
        <is>
          <t>초기 기획 산출물. 신호를 만드는 기준(문법)에 맞춰 채운 신호 목록</t>
        </is>
      </c>
      <c r="D5" s="3" t="inlineStr"/>
      <c r="E5" s="3" t="inlineStr"/>
    </row>
    <row r="6">
      <c r="B6" s="4" t="inlineStr">
        <is>
          <t>작성일</t>
        </is>
      </c>
      <c r="C6" s="4" t="inlineStr">
        <is>
          <t>2026-07-28  ·  규칙 버전 v0.1</t>
        </is>
      </c>
      <c r="D6" s="4" t="inlineStr"/>
      <c r="E6" s="4" t="inlineStr"/>
    </row>
    <row r="7">
      <c r="B7" s="3" t="inlineStr">
        <is>
          <t>적용 대상</t>
        </is>
      </c>
      <c r="C7" s="3" t="inlineStr">
        <is>
          <t>휴넬(hunel) 패키지에 내장되는 성과관리 AI Agent</t>
        </is>
      </c>
      <c r="D7" s="3" t="inlineStr"/>
      <c r="E7" s="3" t="inlineStr"/>
    </row>
    <row r="8">
      <c r="B8" s="4" t="inlineStr">
        <is>
          <t>원본 기획서</t>
        </is>
      </c>
      <c r="C8" s="4" t="inlineStr">
        <is>
          <t>성과관리Agent_신호근거행동_기획_260728.md (선행 문서: 성과관리 Agent_기획_0723.md)</t>
        </is>
      </c>
      <c r="D8" s="4" t="inlineStr"/>
      <c r="E8" s="4" t="inlineStr"/>
    </row>
    <row r="9">
      <c r="B9" s="3" t="inlineStr">
        <is>
          <t>읽는 사람</t>
        </is>
      </c>
      <c r="C9" s="3" t="inlineStr">
        <is>
          <t>검토자 = 비개발자(왼쪽 A~F열만 읽어도 무슨 알림인지 알 수 있게) / 수령자 = 개발자(G열 이후)</t>
        </is>
      </c>
      <c r="D9" s="3" t="inlineStr"/>
      <c r="E9" s="3" t="inlineStr"/>
    </row>
    <row r="10">
      <c r="B10" s="4" t="inlineStr">
        <is>
          <t>데이터 기준</t>
        </is>
      </c>
      <c r="C10" s="4" t="inlineStr">
        <is>
          <t>elizax_talenx 데모 데이터 실측(2026-07-16 기준)을 휴넬 데이터 가용성의 대리 지표로 사용</t>
        </is>
      </c>
      <c r="D10" s="4" t="inlineStr"/>
      <c r="E10" s="4" t="inlineStr"/>
    </row>
    <row r="13">
      <c r="B13" s="5" t="inlineStr">
        <is>
          <t>이 파일이 답하는 것</t>
        </is>
      </c>
    </row>
    <row r="14">
      <c r="B14" s="6" t="inlineStr">
        <is>
          <t>① 무엇을 알려줄 만한 변화(신호)로 볼 것인가    ② 왜 알려주는지(근거)를 무엇으로 보여줄 것인가</t>
        </is>
      </c>
    </row>
    <row r="15">
      <c r="B15" s="6" t="inlineStr">
        <is>
          <t>③ 알림을 본 사람이 무엇을 하게 할 것인가(행동), 그 결과는 어디에 남는가    ④ 같은 변화를 누구에게 어떻게 다르게 보여줄 것인가</t>
        </is>
      </c>
    </row>
    <row r="17">
      <c r="B17" s="7" t="inlineStr">
        <is>
          <t>화면에 뜨는 형태는 알림 카드 한 종류다. 위에 신호 · 가운데 근거 · 아래 행동. 신호 판정은 시스템 규칙이 하고, 문장 다듬기와 초안 쓰기만 AI가 한다. AI는 초안까지만 만들고 최종 확정은 사람이 한다.</t>
        </is>
      </c>
    </row>
    <row r="19">
      <c r="B19" s="5" t="inlineStr">
        <is>
          <t>시트 안내</t>
        </is>
      </c>
    </row>
    <row r="20">
      <c r="B20" s="2" t="inlineStr">
        <is>
          <t>시트</t>
        </is>
      </c>
      <c r="C20" s="2" t="inlineStr">
        <is>
          <t>이름</t>
        </is>
      </c>
      <c r="D20" s="2" t="inlineStr">
        <is>
          <t>담는 것</t>
        </is>
      </c>
      <c r="E20" s="2" t="inlineStr"/>
    </row>
    <row r="21">
      <c r="B21" s="3" t="inlineStr">
        <is>
          <t>1</t>
        </is>
      </c>
      <c r="C21" s="3" t="inlineStr">
        <is>
          <t>00_읽는법</t>
        </is>
      </c>
      <c r="D21" s="3" t="inlineStr">
        <is>
          <t>이 시트. 목적 · 용어 · 색·기호 · 알림 조절 기본값 · 확인 필요 목록</t>
        </is>
      </c>
      <c r="E21" s="3" t="inlineStr"/>
    </row>
    <row r="22">
      <c r="B22" s="4" t="inlineStr">
        <is>
          <t>2</t>
        </is>
      </c>
      <c r="C22" s="4" t="inlineStr">
        <is>
          <t>01_신호목록</t>
        </is>
      </c>
      <c r="D22" s="4" t="inlineStr">
        <is>
          <t>본체. 한 줄 = 알림 1건 (22열). 주체별·단계별로 걸러 볼 수 있게 필터가 걸려 있음</t>
        </is>
      </c>
      <c r="E22" s="4" t="inlineStr"/>
    </row>
    <row r="23">
      <c r="B23" s="3" t="inlineStr">
        <is>
          <t>3</t>
        </is>
      </c>
      <c r="C23" s="3" t="inlineStr">
        <is>
          <t>02_칸점검</t>
        </is>
      </c>
      <c r="D23" s="3" t="inlineStr">
        <is>
          <t>4단계 × 4주체 = 16칸 충족 현황 + 16칸 × 5유형 = 80 스캔포인트 결과 + 빈칸 사유</t>
        </is>
      </c>
      <c r="E23" s="3" t="inlineStr"/>
    </row>
    <row r="24">
      <c r="B24" s="4" t="inlineStr">
        <is>
          <t>4</t>
        </is>
      </c>
      <c r="C24" s="4" t="inlineStr">
        <is>
          <t>03_문장·기록규칙</t>
        </is>
      </c>
      <c r="D24" s="4" t="inlineStr">
        <is>
          <t>문장 쓰는 규칙(좋은 예·나쁜 예) + 알림 기록으로 남길 항목</t>
        </is>
      </c>
      <c r="E24" s="4" t="inlineStr"/>
    </row>
    <row r="27">
      <c r="B27" s="5" t="inlineStr">
        <is>
          <t>용어 풀이</t>
        </is>
      </c>
    </row>
    <row r="28">
      <c r="B28" s="2" t="inlineStr">
        <is>
          <t>용어</t>
        </is>
      </c>
      <c r="C28" s="2" t="inlineStr">
        <is>
          <t>뜻</t>
        </is>
      </c>
      <c r="D28" s="2" t="inlineStr"/>
      <c r="E28" s="2" t="inlineStr"/>
    </row>
    <row r="29">
      <c r="B29" s="3" t="inlineStr">
        <is>
          <t>신호</t>
        </is>
      </c>
      <c r="C29" s="3" t="inlineStr">
        <is>
          <t>① 무언가 달라졌고 ② 그 때문에 특정한 사람이 무언가를 해야 하고 ③ 그 판단을 시스템 규칙으로 할 수 있는 경우. 셋 중 하나라도 빠지면 알림으로 만들지 않는다</t>
        </is>
      </c>
      <c r="D29" s="3" t="inlineStr"/>
      <c r="E29" s="3" t="inlineStr"/>
    </row>
    <row r="30">
      <c r="B30" s="4" t="inlineStr">
        <is>
          <t>신호 근거 (F열)</t>
        </is>
      </c>
      <c r="C30" s="4" t="inlineStr">
        <is>
          <t>이 알림이 왜 지금 떴는지. 규칙에 걸린 사실만 쓴다(숫자·날짜·건수 + 비교 기준). AI를 쓰지 않는다</t>
        </is>
      </c>
      <c r="D30" s="4" t="inlineStr"/>
      <c r="E30" s="4" t="inlineStr"/>
    </row>
    <row r="31">
      <c r="B31" s="3" t="inlineStr">
        <is>
          <t>행동 근거 (J열)</t>
        </is>
      </c>
      <c r="C31" s="3" t="inlineStr">
        <is>
          <t>초안을 쓰기 위해 모으는 재료. 시스템이 모으고 AI가 문장으로 만든다</t>
        </is>
      </c>
      <c r="D31" s="3" t="inlineStr"/>
      <c r="E31" s="3" t="inlineStr"/>
    </row>
    <row r="32">
      <c r="B32" s="4" t="inlineStr">
        <is>
          <t>기초 / 우리만 가능</t>
        </is>
      </c>
      <c r="C32" s="4" t="inlineStr">
        <is>
          <t>기초 = 어느 시스템이나 하는 알림(주로 마감·기간). 우리만 가능 = 조직·직무·발령 정보가 있어야 나오는 알림</t>
        </is>
      </c>
      <c r="D32" s="4" t="inlineStr"/>
      <c r="E32" s="4" t="inlineStr"/>
    </row>
    <row r="33">
      <c r="B33" s="3" t="inlineStr">
        <is>
          <t>재알림 간격 (S열)</t>
        </is>
      </c>
      <c r="C33" s="3" t="inlineStr">
        <is>
          <t>같은 사람에게 같은 알림을 며칠 안에 다시 띄우지 않는지</t>
        </is>
      </c>
      <c r="D33" s="3" t="inlineStr"/>
      <c r="E33" s="3" t="inlineStr"/>
    </row>
    <row r="34">
      <c r="B34" s="4" t="inlineStr">
        <is>
          <t>최소 건수 (T열)</t>
        </is>
      </c>
      <c r="C34" s="4" t="inlineStr">
        <is>
          <t>합쳐서 보는 알림은 몇 건·몇 % 미만이면 띄우지 않는지</t>
        </is>
      </c>
      <c r="D34" s="4" t="inlineStr"/>
      <c r="E34" s="4" t="inlineStr"/>
    </row>
    <row r="35">
      <c r="B35" s="3" t="inlineStr">
        <is>
          <t>위로 올릴 3조건</t>
        </is>
      </c>
      <c r="C35" s="3" t="inlineStr">
        <is>
          <t>① 합쳐서 볼 수 있는가 ② 아래 사람이 먼저 처리할 기회를 가졌는가 ③ 상위 주체가 실제로 할 수 있는 일이 있는가 — 셋 다 맞을 때만 상위 주체 알림을 만든다</t>
        </is>
      </c>
      <c r="D35" s="3" t="inlineStr"/>
      <c r="E35" s="3" t="inlineStr"/>
    </row>
    <row r="38">
      <c r="B38" s="5" t="inlineStr">
        <is>
          <t>변화의 종류 5가지 (D열)</t>
        </is>
      </c>
    </row>
    <row r="39">
      <c r="B39" s="2" t="inlineStr">
        <is>
          <t>구분</t>
        </is>
      </c>
      <c r="C39" s="2" t="inlineStr">
        <is>
          <t>어떤 변화인가</t>
        </is>
      </c>
      <c r="D39" s="2" t="inlineStr">
        <is>
          <t>판단에 필요한 정보</t>
        </is>
      </c>
      <c r="E39" s="2" t="inlineStr">
        <is>
          <t>우리만 할 수 있는 정도</t>
        </is>
      </c>
    </row>
    <row r="40">
      <c r="B40" s="3" t="inlineStr">
        <is>
          <t>① 때가 됐다</t>
        </is>
      </c>
      <c r="C40" s="3" t="inlineStr">
        <is>
          <t>기간이 열렸거나 마감이 다가옴·지났음</t>
        </is>
      </c>
      <c r="D40" s="3" t="inlineStr">
        <is>
          <t>평가·목표 기간 일정</t>
        </is>
      </c>
      <c r="E40" s="3" t="inlineStr">
        <is>
          <t>낮음 — 기초 알림의 주력</t>
        </is>
      </c>
    </row>
    <row r="41">
      <c r="B41" s="4" t="inlineStr">
        <is>
          <t>② 비어 있다 / 멈췄다</t>
        </is>
      </c>
      <c r="C41" s="4" t="inlineStr">
        <is>
          <t>써야 할 게 안 써졌음 / 며칠째 그대로임</t>
        </is>
      </c>
      <c r="D41" s="4" t="inlineStr">
        <is>
          <t>마지막으로 고친 날짜</t>
        </is>
      </c>
      <c r="E41" s="4" t="inlineStr">
        <is>
          <t>중간</t>
        </is>
      </c>
    </row>
    <row r="42">
      <c r="B42" s="3" t="inlineStr">
        <is>
          <t>③ 기준을 벗어났다</t>
        </is>
      </c>
      <c r="C42" s="3" t="inlineStr">
        <is>
          <t>수치가 기준선 밖으로 나감</t>
        </is>
      </c>
      <c r="D42" s="3" t="inlineStr">
        <is>
          <t>수치 + 비교 기준</t>
        </is>
      </c>
      <c r="E42" s="3" t="inlineStr">
        <is>
          <t>중간~높음</t>
        </is>
      </c>
    </row>
    <row r="43">
      <c r="B43" s="4" t="inlineStr">
        <is>
          <t>④ 서로 안 맞는다</t>
        </is>
      </c>
      <c r="C43" s="4" t="inlineStr">
        <is>
          <t>목표가 팀 목표·직무와 어긋남, 평가와 근거가 안 맞음</t>
        </is>
      </c>
      <c r="D43" s="4" t="inlineStr">
        <is>
          <t>목표·조직·직무의 연결 관계</t>
        </is>
      </c>
      <c r="E43" s="4" t="inlineStr">
        <is>
          <t>높음</t>
        </is>
      </c>
    </row>
    <row r="44">
      <c r="B44" s="3" t="inlineStr">
        <is>
          <t>⑤ 무슨 일이 생겼다</t>
        </is>
      </c>
      <c r="C44" s="3" t="inlineStr">
        <is>
          <t>발령, 조직 개편, 피드백 도착, 같이 걸린 동료의 진행</t>
        </is>
      </c>
      <c r="D44" s="3" t="inlineStr">
        <is>
          <t>변경 이력</t>
        </is>
      </c>
      <c r="E44" s="3" t="inlineStr">
        <is>
          <t>매우 높음 — 휴넬만 가능</t>
        </is>
      </c>
    </row>
    <row r="47">
      <c r="B47" s="5" t="inlineStr">
        <is>
          <t>주체 4종 (C열)</t>
        </is>
      </c>
    </row>
    <row r="48">
      <c r="B48" s="2" t="inlineStr">
        <is>
          <t>주체</t>
        </is>
      </c>
      <c r="C48" s="2" t="inlineStr">
        <is>
          <t>무엇을 기준으로 보는가</t>
        </is>
      </c>
      <c r="D48" s="2" t="inlineStr">
        <is>
          <t>이 사람에게 알림이 되는 조건</t>
        </is>
      </c>
      <c r="E48" s="2" t="inlineStr">
        <is>
          <t>하게 될 행동</t>
        </is>
      </c>
    </row>
    <row r="49">
      <c r="B49" s="3" t="inlineStr">
        <is>
          <t>조직원</t>
        </is>
      </c>
      <c r="C49" s="3" t="inlineStr">
        <is>
          <t>나 자신</t>
        </is>
      </c>
      <c r="D49" s="3" t="inlineStr">
        <is>
          <t>변화의 대상이 나 자신일 때. 남의 변화는 나와의 연결 근거를 댈 수 있을 때만</t>
        </is>
      </c>
      <c r="E49" s="3" t="inlineStr">
        <is>
          <t>직접 쓰고 고치기</t>
        </is>
      </c>
    </row>
    <row r="50">
      <c r="B50" s="4" t="inlineStr">
        <is>
          <t>조직장(1차)</t>
        </is>
      </c>
      <c r="C50" s="4" t="inlineStr">
        <is>
          <t>팀원 한 사람씩</t>
        </is>
      </c>
      <c r="D50" s="4" t="inlineStr">
        <is>
          <t>변화의 대상이 직속 팀원일 때</t>
        </is>
      </c>
      <c r="E50" s="4" t="inlineStr">
        <is>
          <t>챙기고 독려하고 1차 판단하기</t>
        </is>
      </c>
    </row>
    <row r="51">
      <c r="B51" s="3" t="inlineStr">
        <is>
          <t>조직장(2차)</t>
        </is>
      </c>
      <c r="C51" s="3" t="inlineStr">
        <is>
          <t>팀 단위 / 1차 평가자</t>
        </is>
      </c>
      <c r="D51" s="3" t="inlineStr">
        <is>
          <t>개별 팀원 건은 올리지 않는다. 팀 단위로 합친 수치 또는 1차 평가자가 한 일만</t>
        </is>
      </c>
      <c r="E51" s="3" t="inlineStr">
        <is>
          <t>조정 요청·재검토 요구·승인</t>
        </is>
      </c>
    </row>
    <row r="52">
      <c r="B52" s="4" t="inlineStr">
        <is>
          <t>HR·경영진</t>
        </is>
      </c>
      <c r="C52" s="4" t="inlineStr">
        <is>
          <t>조직 전체</t>
        </is>
      </c>
      <c r="D52" s="4" t="inlineStr">
        <is>
          <t>조직·전사 단위로 합친 수치, 진행률, 제도에서 벗어난 곳. 개인은 되도록 특정하지 않는다</t>
        </is>
      </c>
      <c r="E52" s="4" t="inlineStr">
        <is>
          <t>HR = 제도 운영 / 경영진 = 조직·자원 판단</t>
        </is>
      </c>
    </row>
    <row r="55">
      <c r="B55" s="5" t="inlineStr">
        <is>
          <t>행동 6가지 (K열)</t>
        </is>
      </c>
    </row>
    <row r="56">
      <c r="B56" s="2" t="inlineStr">
        <is>
          <t>행동</t>
        </is>
      </c>
      <c r="C56" s="2" t="inlineStr">
        <is>
          <t>무엇을 하나</t>
        </is>
      </c>
      <c r="D56" s="2" t="inlineStr">
        <is>
          <t>결과가 어디에 남나</t>
        </is>
      </c>
      <c r="E56" s="2" t="inlineStr">
        <is>
          <t>주로 쓰는 주체</t>
        </is>
      </c>
    </row>
    <row r="57">
      <c r="B57" s="3" t="inlineStr">
        <is>
          <t>A1 쓰기</t>
        </is>
      </c>
      <c r="C57" s="3" t="inlineStr">
        <is>
          <t>초안을 받아 확인하고 확정</t>
        </is>
      </c>
      <c r="D57" s="3" t="inlineStr">
        <is>
          <t>새 기록 (진행 점검·자기평가·목표)</t>
        </is>
      </c>
      <c r="E57" s="3" t="inlineStr">
        <is>
          <t>조직원</t>
        </is>
      </c>
    </row>
    <row r="58">
      <c r="B58" s="4" t="inlineStr">
        <is>
          <t>A2 고치기·맞추기</t>
        </is>
      </c>
      <c r="C58" s="4" t="inlineStr">
        <is>
          <t>이미 있는 내용을 수정</t>
        </is>
      </c>
      <c r="D58" s="4" t="inlineStr">
        <is>
          <t>기존 기록 수정 + 수정 이력</t>
        </is>
      </c>
      <c r="E58" s="4" t="inlineStr">
        <is>
          <t>조직원, 1차</t>
        </is>
      </c>
    </row>
    <row r="59">
      <c r="B59" s="3" t="inlineStr">
        <is>
          <t>A3 보내기</t>
        </is>
      </c>
      <c r="C59" s="3" t="inlineStr">
        <is>
          <t>사람에게 메시지 전달</t>
        </is>
      </c>
      <c r="D59" s="3" t="inlineStr">
        <is>
          <t>메시지 기록 + 보냄·받음 기록</t>
        </is>
      </c>
      <c r="E59" s="3" t="inlineStr">
        <is>
          <t>1차, 2차, HR</t>
        </is>
      </c>
    </row>
    <row r="60">
      <c r="B60" s="4" t="inlineStr">
        <is>
          <t>A4 대화 잡기</t>
        </is>
      </c>
      <c r="C60" s="4" t="inlineStr">
        <is>
          <t>1on1·목표 검토 회의 (이야기할 항목 포함)</t>
        </is>
      </c>
      <c r="D60" s="4" t="inlineStr">
        <is>
          <t>일정 + 이야기할 항목 기록</t>
        </is>
      </c>
      <c r="E60" s="4" t="inlineStr">
        <is>
          <t>1차, 2차</t>
        </is>
      </c>
    </row>
    <row r="61">
      <c r="B61" s="3" t="inlineStr">
        <is>
          <t>A5 들여다보기</t>
        </is>
      </c>
      <c r="C61" s="3" t="inlineStr">
        <is>
          <t>행동이 아니라 판단하기 전 확인</t>
        </is>
      </c>
      <c r="D61" s="3" t="inlineStr">
        <is>
          <t>남는 것 없음 (조회만)</t>
        </is>
      </c>
      <c r="E61" s="3" t="inlineStr">
        <is>
          <t>2차, HR·경영진</t>
        </is>
      </c>
    </row>
    <row r="62">
      <c r="B62" s="4" t="inlineStr">
        <is>
          <t>A6 요청하기</t>
        </is>
      </c>
      <c r="C62" s="4" t="inlineStr">
        <is>
          <t>등급 조정 회의·재검토·제도 개입 요청</t>
        </is>
      </c>
      <c r="D62" s="4" t="inlineStr">
        <is>
          <t>요청 기록 + 승인 흐름</t>
        </is>
      </c>
      <c r="E62" s="4" t="inlineStr">
        <is>
          <t>2차, HR·경영진</t>
        </is>
      </c>
    </row>
    <row r="64">
      <c r="B64" s="7" t="inlineStr">
        <is>
          <t>결과가 남지 않으면 알림을 만들지 않는다. 칸마다 A5가 아닌 행동을 최소 1개 둔다.</t>
        </is>
      </c>
    </row>
    <row r="67">
      <c r="B67" s="5" t="inlineStr">
        <is>
          <t>알림 조절 기본값</t>
        </is>
      </c>
      <c r="C67" s="8" t="inlineStr">
        <is>
          <t>— 신호 목록을 채우기 전에 정한 숫자. 줄마다 다르게 쓸 수 있으나 이유가 있어야 한다</t>
        </is>
      </c>
    </row>
    <row r="68">
      <c r="B68" s="2" t="inlineStr">
        <is>
          <t>규칙</t>
        </is>
      </c>
      <c r="C68" s="2" t="inlineStr">
        <is>
          <t>기본값</t>
        </is>
      </c>
      <c r="D68" s="2" t="inlineStr">
        <is>
          <t>안 정하면</t>
        </is>
      </c>
      <c r="E68" s="2" t="inlineStr"/>
    </row>
    <row r="69">
      <c r="B69" s="3" t="inlineStr">
        <is>
          <t>재알림 간격 (S열)</t>
        </is>
      </c>
      <c r="C69" s="3" t="inlineStr">
        <is>
          <t>개인 대상 7일 / 팀·조직 합계 14일 / 마감 임박류 3일 / 이벤트성(⑤) 재알림 없음(1회)</t>
        </is>
      </c>
      <c r="D69" s="3" t="inlineStr">
        <is>
          <t>같은 알림이 매일 뜬다</t>
        </is>
      </c>
      <c r="E69" s="3" t="inlineStr"/>
    </row>
    <row r="70">
      <c r="B70" s="4" t="inlineStr">
        <is>
          <t>상위 알림이 있으면 생략</t>
        </is>
      </c>
      <c r="C70" s="4" t="inlineStr">
        <is>
          <t>같은 원인으로 위쪽에 알림이 떴으면 아래쪽 중복 알림은 만들지 않는다. 반대로 1차가 볼 기회도 없이 2차·HR에 먼저 띄우지 않는다</t>
        </is>
      </c>
      <c r="D70" s="4" t="inlineStr">
        <is>
          <t>1차·2차에 같은 건이 두 번 뜬다</t>
        </is>
      </c>
      <c r="E70" s="4" t="inlineStr"/>
    </row>
    <row r="71">
      <c r="B71" s="3" t="inlineStr">
        <is>
          <t>처리하면 사라짐 (U열)</t>
        </is>
      </c>
      <c r="C71" s="3" t="inlineStr">
        <is>
          <t>행동을 마치면 즉시 없어지고 결과만 기록에 남는다</t>
        </is>
      </c>
      <c r="D71" s="3" t="inlineStr">
        <is>
          <t>이미 처리한 알림이 계속 남아 있다</t>
        </is>
      </c>
      <c r="E71" s="3" t="inlineStr"/>
    </row>
    <row r="72">
      <c r="B72" s="4" t="inlineStr">
        <is>
          <t>최소 건수 (T열)</t>
        </is>
      </c>
      <c r="C72" s="4" t="inlineStr">
        <is>
          <t>개인 대상 해당 없음 / 팀 합계 3건 이상 또는 팀의 30% 이상 / 조직·전사 합계 5건 이상 또는 조직의 20% 이상</t>
        </is>
      </c>
      <c r="D72" s="4" t="inlineStr">
        <is>
          <t>2차·HR 알림이 항상 떠 있다</t>
        </is>
      </c>
      <c r="E72" s="4" t="inlineStr"/>
    </row>
    <row r="75">
      <c r="B75" s="5" t="inlineStr">
        <is>
          <t>채택 기준과 컷라인</t>
        </is>
      </c>
    </row>
    <row r="76">
      <c r="B76" s="2" t="inlineStr">
        <is>
          <t>기준</t>
        </is>
      </c>
      <c r="C76" s="2" t="inlineStr">
        <is>
          <t>질문</t>
        </is>
      </c>
      <c r="D76" s="2" t="inlineStr">
        <is>
          <t>점수</t>
        </is>
      </c>
      <c r="E76" s="2" t="inlineStr">
        <is>
          <t>컷라인</t>
        </is>
      </c>
    </row>
    <row r="77">
      <c r="B77" s="3" t="inlineStr">
        <is>
          <t>① 도움이 되는가 (N열)</t>
        </is>
      </c>
      <c r="C77" s="3" t="inlineStr">
        <is>
          <t>놓치면 아쉬운 알림인가</t>
        </is>
      </c>
      <c r="D77" s="3" t="inlineStr">
        <is>
          <t>크다 3 / 보통 2 / 작다 1</t>
        </is>
      </c>
      <c r="E77" s="3" t="inlineStr">
        <is>
          <t>합계(Q열) 6점 미만은 제외</t>
        </is>
      </c>
    </row>
    <row r="78">
      <c r="B78" s="4" t="inlineStr">
        <is>
          <t>② 자주 생기는가 (O열)</t>
        </is>
      </c>
      <c r="C78" s="4" t="inlineStr">
        <is>
          <t>드물면 알림 목록이 빈다</t>
        </is>
      </c>
      <c r="D78" s="4" t="inlineStr">
        <is>
          <t>자주 3 / 보통 2 / 드묾 1</t>
        </is>
      </c>
      <c r="E78" s="4" t="inlineStr">
        <is>
          <t>③이 1점이면 "기초"로 분류</t>
        </is>
      </c>
    </row>
    <row r="79">
      <c r="B79" s="3" t="inlineStr">
        <is>
          <t>③ 우리만 가능한가 (P열)</t>
        </is>
      </c>
      <c r="C79" s="3" t="inlineStr">
        <is>
          <t>휴넬 정보가 있어야만 알 수 있는가</t>
        </is>
      </c>
      <c r="D79" s="3" t="inlineStr">
        <is>
          <t>그렇다 3 / 일부 2 / 아니다 1</t>
        </is>
      </c>
      <c r="E79" s="3" t="inlineStr">
        <is>
          <t>칸별 목표 = 기초 1 + 우리만 가능 1 이상</t>
        </is>
      </c>
    </row>
    <row r="82">
      <c r="B82" s="5" t="inlineStr">
        <is>
          <t>색·기호 설명</t>
        </is>
      </c>
    </row>
    <row r="83">
      <c r="B83" s="2" t="inlineStr">
        <is>
          <t>표기</t>
        </is>
      </c>
      <c r="C83" s="2" t="inlineStr">
        <is>
          <t>뜻</t>
        </is>
      </c>
      <c r="D83" s="2" t="inlineStr"/>
      <c r="E83" s="2" t="inlineStr"/>
    </row>
    <row r="84">
      <c r="B84" s="2" t="inlineStr">
        <is>
          <t>머리글 남색</t>
        </is>
      </c>
      <c r="C84" s="3" t="inlineStr">
        <is>
          <t>묶음 1 (A~F열) — 어떤 알림인가. 누구나 읽는 부분</t>
        </is>
      </c>
      <c r="D84" s="9" t="n"/>
      <c r="E84" s="10" t="n"/>
    </row>
    <row r="85">
      <c r="B85" s="11" t="inlineStr">
        <is>
          <t>머리글 청록</t>
        </is>
      </c>
      <c r="C85" s="3" t="inlineStr">
        <is>
          <t>묶음 2 (G~I열) — 무엇을 보고 판단하나. 개발자가 만드는 부분</t>
        </is>
      </c>
      <c r="D85" s="9" t="n"/>
      <c r="E85" s="10" t="n"/>
    </row>
    <row r="86">
      <c r="B86" s="12" t="inlineStr">
        <is>
          <t>머리글 주황</t>
        </is>
      </c>
      <c r="C86" s="3" t="inlineStr">
        <is>
          <t>묶음 3 (J~M열) — 무엇을 하게 하나</t>
        </is>
      </c>
      <c r="D86" s="9" t="n"/>
      <c r="E86" s="10" t="n"/>
    </row>
    <row r="87">
      <c r="B87" s="13" t="inlineStr">
        <is>
          <t>머리글 회색</t>
        </is>
      </c>
      <c r="C87" s="3" t="inlineStr">
        <is>
          <t>묶음 4 (N~V열) — 채택 여부와 알림 조절</t>
        </is>
      </c>
      <c r="D87" s="9" t="n"/>
      <c r="E87" s="10" t="n"/>
    </row>
    <row r="88">
      <c r="B88" s="14" t="inlineStr">
        <is>
          <t>줄 전체 회색</t>
        </is>
      </c>
      <c r="C88" s="3" t="inlineStr">
        <is>
          <t>판정(R열)이 "제외" — 훑었으나 채택하지 않은 줄</t>
        </is>
      </c>
      <c r="D88" s="9" t="n"/>
      <c r="E88" s="10" t="n"/>
    </row>
    <row r="89">
      <c r="B89" s="15" t="inlineStr">
        <is>
          <t>빨간 칸</t>
        </is>
      </c>
      <c r="C89" s="3" t="inlineStr">
        <is>
          <t>결과가 저장되는 곳(M열)이 비었다 = 이 알림은 만들 수 없다</t>
        </is>
      </c>
      <c r="D89" s="9" t="n"/>
      <c r="E89" s="10" t="n"/>
    </row>
    <row r="90">
      <c r="B90" s="16" t="inlineStr">
        <is>
          <t>노란 칸</t>
        </is>
      </c>
      <c r="C90" s="3" t="inlineStr">
        <is>
          <t>비고·확인 필요(V열)에 내용이 있다 = 담당자에게 물어볼 항목</t>
        </is>
      </c>
      <c r="D90" s="9" t="n"/>
      <c r="E90" s="10" t="n"/>
    </row>
    <row r="93">
      <c r="B93" s="5" t="inlineStr">
        <is>
          <t>확인 필요 목록 (76건)</t>
        </is>
      </c>
      <c r="C93" s="8" t="inlineStr">
        <is>
          <t>— 01_신호목록 V열을 모은 것. 개발·데이터 담당자에게 물어볼 항목</t>
        </is>
      </c>
    </row>
    <row r="94">
      <c r="B94" s="13" t="inlineStr">
        <is>
          <t>알림 번호</t>
        </is>
      </c>
      <c r="C94" s="13" t="inlineStr">
        <is>
          <t>단계 · 주체</t>
        </is>
      </c>
      <c r="D94" s="13" t="inlineStr">
        <is>
          <t>확인할 것</t>
        </is>
      </c>
      <c r="E94" s="13" t="inlineStr"/>
    </row>
    <row r="95">
      <c r="B95" s="3" t="inlineStr">
        <is>
          <t>목표수립-조직원-01</t>
        </is>
      </c>
      <c r="C95" s="3" t="inlineStr">
        <is>
          <t>목표수립 · 조직원</t>
        </is>
      </c>
      <c r="D95" s="3" t="inlineStr">
        <is>
          <t>평가·목표 기간 일정 마스터(개시일·마감일·리마인드 기준일)가 없어 현재는 목표의 기간 문자열(FY2026-2Q)에서 파생해야 함 — 일정 마스터 신설 확인 필요(T1 신호 전체의 전제)</t>
        </is>
      </c>
      <c r="E95" s="10" t="n"/>
    </row>
    <row r="96">
      <c r="B96" s="4" t="inlineStr">
        <is>
          <t>목표수립-조직원-02</t>
        </is>
      </c>
      <c r="C96" s="4" t="inlineStr">
        <is>
          <t>목표수립 · 조직원</t>
        </is>
      </c>
      <c r="D96" s="4" t="inlineStr">
        <is>
          <t>목표의 저장일·최종 수정 일시(updated_at)가 어디에도 없어 '7일 경과' 판정 불가 — 확인 1순위. 핵심결과 146건·목표 40건은 실측 확인</t>
        </is>
      </c>
      <c r="E96" s="10" t="n"/>
    </row>
    <row r="97">
      <c r="B97" s="3" t="inlineStr">
        <is>
          <t>목표수립-조직원-03</t>
        </is>
      </c>
      <c r="C97" s="3" t="inlineStr">
        <is>
          <t>목표수립 · 조직원</t>
        </is>
      </c>
      <c r="D97" s="3" t="inlineStr">
        <is>
          <t>가중치 합 100% 규정이 제도로 정해져 있는지 확인 필요. 핵심결과 가중치 필드는 146건 실측 확인. 수정 이력 보관 위치는 없어 신설 확인 필요</t>
        </is>
      </c>
      <c r="E97" s="10" t="n"/>
    </row>
    <row r="98">
      <c r="B98" s="4" t="inlineStr">
        <is>
          <t>목표수립-조직원-04</t>
        </is>
      </c>
      <c r="C98" s="4" t="inlineStr">
        <is>
          <t>목표수립 · 조직원</t>
        </is>
      </c>
      <c r="D98" s="4" t="inlineStr">
        <is>
          <t>핵심결과의 직무 과업 참조 100%·역량 연결 D1~D5·직무프로파일 98종의 역량 가중치는 실측 확인. 목표의 직무 참조는 80%여서 빠진 20%는 판정 보류. 상위 목표 미연계(목표 연결률 95%, 미연계 5%)를 같은 조건에 넣을지 확인 필요</t>
        </is>
      </c>
      <c r="E98" s="10" t="n"/>
    </row>
    <row r="99">
      <c r="B99" s="3" t="inlineStr">
        <is>
          <t>목표수립-조직원-05</t>
        </is>
      </c>
      <c r="C99" s="3" t="inlineStr">
        <is>
          <t>목표수립 · 조직원</t>
        </is>
      </c>
      <c r="D99" s="3" t="inlineStr">
        <is>
          <t>발령·직무이동 이력 채움률 0.5%(221명 중 1명) — 휴넬/JaDE 발령 원천 연동이 이 신호의 전제(T5 간판). 같은 원인으로 조직장(1차)에게도 뜰 수 있어, 조직원이 먼저 보고 7일 안에 처리하지 않을 때만 상위로 올리도록 순서 지정 필요</t>
        </is>
      </c>
      <c r="E99" s="10" t="n"/>
    </row>
    <row r="100">
      <c r="B100" s="4" t="inlineStr">
        <is>
          <t>목표수립-조직장1차-01</t>
        </is>
      </c>
      <c r="C100" s="4" t="inlineStr">
        <is>
          <t>목표수립 · 조직장(1차)</t>
        </is>
      </c>
      <c r="D100" s="4" t="inlineStr">
        <is>
          <t>목표·평가 기간 일정 마스터가 없어 마감일을 목표의 기간 문자열에서 파생 중 — 일정 마스터 신설 확인 필요. 메시지 보냄·받음 원장도 서버 보존 신설 필요. 같은 원인 카드가 조직원에게 먼저 뜨므로 1차 카드는 마감 3일 전부터만 만든다</t>
        </is>
      </c>
      <c r="E100" s="10" t="n"/>
    </row>
    <row r="101">
      <c r="B101" s="3" t="inlineStr">
        <is>
          <t>목표수립-조직장1차-02</t>
        </is>
      </c>
      <c r="C101" s="3" t="inlineStr">
        <is>
          <t>목표수립 · 조직장(1차)</t>
        </is>
      </c>
      <c r="D101" s="3" t="inlineStr">
        <is>
          <t>핵심결과 건수는 실측 확인됨(146건). 목표 레코드에 최종 수정 일시가 없어 기간 개시일 기준으로만 판정 가능 — 일정 마스터와 수정 일시 확인 필요. 조직원에게 같은 원인 카드가 먼저 뜨며 7일 내 미처리일 때만 1차에 만든다</t>
        </is>
      </c>
      <c r="E101" s="10" t="n"/>
    </row>
    <row r="102">
      <c r="B102" s="4" t="inlineStr">
        <is>
          <t>목표수립-조직장1차-03</t>
        </is>
      </c>
      <c r="C102" s="4" t="inlineStr">
        <is>
          <t>목표수립 · 조직장(1차)</t>
        </is>
      </c>
      <c r="D102" s="4" t="inlineStr">
        <is>
          <t>난이도(A~C)와 난이도 근거는 실측 있으나, 난이도가 낮게 몰린 것이 곧 고쳐야 할 상태라고 볼 기준이 제도에 없어 제외. 난이도 근거(98.6%)를 쓰는 판정 규칙이 정해지면 다시 검토</t>
        </is>
      </c>
      <c r="E102" s="10" t="n"/>
    </row>
    <row r="103">
      <c r="B103" s="3" t="inlineStr">
        <is>
          <t>목표수립-조직장1차-04</t>
        </is>
      </c>
      <c r="C103" s="3" t="inlineStr">
        <is>
          <t>목표수립 · 조직장(1차)</t>
        </is>
      </c>
      <c r="D103" s="3" t="inlineStr">
        <is>
          <t>상위목표 연결 95%·전략과제 연결 100% 실측 확인됨. 조직장이 팀원 목표의 연결을 직접 고칠 권한이 있는지 확인 필요 — 권한이 없으면 A3 보내기로 바꾼다. 목표 수정 이력 저장 위치 없음</t>
        </is>
      </c>
      <c r="E103" s="10" t="n"/>
    </row>
    <row r="104">
      <c r="B104" s="4" t="inlineStr">
        <is>
          <t>목표수립-조직장1차-05</t>
        </is>
      </c>
      <c r="C104" s="4" t="inlineStr">
        <is>
          <t>목표수립 · 조직장(1차)</t>
        </is>
      </c>
      <c r="D104" s="4" t="inlineStr">
        <is>
          <t>발령·직무이동 이력 채움률 0.5%(221명 중 1명) — 휴넬·JaDE 발령 원천 연동이 이 신호의 전제. 1on1 기록은 브라우저 80건 롤링뿐이어서 서버 보존 신설 필요</t>
        </is>
      </c>
      <c r="E104" s="10" t="n"/>
    </row>
    <row r="105">
      <c r="B105" s="3" t="inlineStr">
        <is>
          <t>목표수립-조직장2차-01</t>
        </is>
      </c>
      <c r="C105" s="3" t="inlineStr">
        <is>
          <t>목표수립 · 조직장(2차)</t>
        </is>
      </c>
      <c r="D105" s="3" t="inlineStr">
        <is>
          <t>목표 기간 일정 마스터(개시일·마감일)가 없어 현재는 목표의 기간 문자열에서 파생 — 신설 필요. 억제: 같은 원인으로 각 1차 평가자에게 팀원별 미수립 알림이 먼저 뜬 뒤에만 이 팀 합계 카드를 만든다(1차 선행). 개별 팀원 미수립 건은 2차에 올리지 않는다</t>
        </is>
      </c>
      <c r="E105" s="10" t="n"/>
    </row>
    <row r="106">
      <c r="B106" s="4" t="inlineStr">
        <is>
          <t>목표수립-조직장2차-02</t>
        </is>
      </c>
      <c r="C106" s="4" t="inlineStr">
        <is>
          <t>목표수립 · 조직장(2차)</t>
        </is>
      </c>
      <c r="D106" s="4" t="inlineStr">
        <is>
          <t>목표 확정(승인) 기록과 시각이 현재 없음 — 신설 필요. 1차 평가자 매핑 필드 확인/신설 필요. 관측 대상은 팀원이 아니라 1차 평가자의 검토 행위. 억제: 팀원 개인의 목표 미작성 건은 1차에게만 뜨고, 2차에는 평가자 단위 합계로만 올린다</t>
        </is>
      </c>
      <c r="E106" s="10" t="n"/>
    </row>
    <row r="107">
      <c r="B107" s="3" t="inlineStr">
        <is>
          <t>목표수립-조직장2차-03</t>
        </is>
      </c>
      <c r="C107" s="3" t="inlineStr">
        <is>
          <t>목표수립 · 조직장(2차)</t>
        </is>
      </c>
      <c r="D107" s="3" t="inlineStr">
        <is>
          <t>난이도(A~C)와 난이도 근거는 실측 존재(146건 중 98.6%). 회의 기록이 브라우저 80건 롤링이라 서버 보존 신설 필요. 억제: 핵심결과 1건의 난이도 문제는 소유자·1차에게만 뜨고, 2차에는 팀 분포로만 올린다</t>
        </is>
      </c>
      <c r="E107" s="10" t="n"/>
    </row>
    <row r="108">
      <c r="B108" s="4" t="inlineStr">
        <is>
          <t>목표수립-조직장2차-04</t>
        </is>
      </c>
      <c r="C108" s="4" t="inlineStr">
        <is>
          <t>목표수립 · 조직장(2차)</t>
        </is>
      </c>
      <c r="D108" s="4" t="inlineStr">
        <is>
          <t>목표 개수 차이는 팀 규모·업무 성격 차이로 대부분 설명되어 기준선을 세울 수 없다. 2차가 할 행동이 들여다보기로 끝나 위로 올릴 3조건 중 ③(상위 주체가 실제로 할 수 있는 일)을 충족하지 못해 제외. 난이도 쏠림(목표수립-조직장2차-03)으로 대체</t>
        </is>
      </c>
      <c r="E108" s="10" t="n"/>
    </row>
    <row r="109">
      <c r="B109" s="3" t="inlineStr">
        <is>
          <t>목표수립-조직장2차-05</t>
        </is>
      </c>
      <c r="C109" s="3" t="inlineStr">
        <is>
          <t>목표수립 · 조직장(2차)</t>
        </is>
      </c>
      <c r="D109" s="3" t="inlineStr">
        <is>
          <t>상위목표 연결 95% 실측 — 나머지 5%가 판정 대상. 억제: 목표 1건의 연결 누락은 소유자와 1차가 먼저 볼 기회를 가진 뒤 3건 이상 모일 때만 2차 카드를 만든다</t>
        </is>
      </c>
      <c r="E109" s="10" t="n"/>
    </row>
    <row r="110">
      <c r="B110" s="4" t="inlineStr">
        <is>
          <t>목표수립-조직장2차-06</t>
        </is>
      </c>
      <c r="C110" s="4" t="inlineStr">
        <is>
          <t>목표수립 · 조직장(2차)</t>
        </is>
      </c>
      <c r="D110" s="4" t="inlineStr">
        <is>
          <t>발령·직무이동 이력 채움률 0.5%(221명 중 1명) — 휴넬/JaDE 발령 원천 연동 확인 필요, T5 신호 전체의 전제. 조직 변경 이력 테이블 존재 여부 확인 필요. 억제: 같은 사건으로 1차에게는 팀원별 목표 재정렬 알림이 뜨고, 2차에는 팀 단위 사건으로만 올린다</t>
        </is>
      </c>
      <c r="E110" s="10" t="n"/>
    </row>
    <row r="111">
      <c r="B111" s="3" t="inlineStr">
        <is>
          <t>목표수립-HR경영진-01</t>
        </is>
      </c>
      <c r="C111" s="3" t="inlineStr">
        <is>
          <t>목표수립 · HR·경영진</t>
        </is>
      </c>
      <c r="D111" s="3" t="inlineStr">
        <is>
          <t>목표·평가 기간 일정 마스터(개시일·마감일·리마인드 기준일)가 없어 신설 필요 — 이 카드의 전제. 알림 발송·열람·처리 로그 원장도 서버 보존 신설 필요. 조직장(1차)에게 팀원 목표 미수립 카드가 먼저 떴다는 전제 아래 생성한다</t>
        </is>
      </c>
      <c r="E111" s="10" t="n"/>
    </row>
    <row r="112">
      <c r="B112" s="4" t="inlineStr">
        <is>
          <t>목표수립-HR경영진-02</t>
        </is>
      </c>
      <c r="C112" s="4" t="inlineStr">
        <is>
          <t>목표수립 · HR·경영진</t>
        </is>
      </c>
      <c r="D112" s="4" t="inlineStr">
        <is>
          <t>목표·핵심결과·평가 어디에도 레코드 최종 수정 일시(updated_at)가 없어 '며칠째 그대로'를 판정할 수 없다 — 확인 1순위 항목. 미수립 자체는 ① 때가 됐다 카드(목표수립-HR경영진-01)가 이미 담당하므로 중복이다. updated_at이 생기면 재검토</t>
        </is>
      </c>
      <c r="E112" s="10" t="n"/>
    </row>
    <row r="113">
      <c r="B113" s="3" t="inlineStr">
        <is>
          <t>목표수립-HR경영진-03</t>
        </is>
      </c>
      <c r="C113" s="3" t="inlineStr">
        <is>
          <t>목표수립 · HR·경영진</t>
        </is>
      </c>
      <c r="D113" s="3" t="inlineStr">
        <is>
          <t>제도로 정한 난이도 분포 기준값이 아직 없어 확인·신설 필요. 난이도 등급(A~C)과 난이도 근거는 핵심결과 146건에 98.6% 채워져 있어 판정 자체는 가능. 경영진용 카드(목표수립-HR경영진-06)와 같은 원인이며 행동만 다르다</t>
        </is>
      </c>
      <c r="E113" s="10" t="n"/>
    </row>
    <row r="114">
      <c r="B114" s="4" t="inlineStr">
        <is>
          <t>목표수립-HR경영진-04</t>
        </is>
      </c>
      <c r="C114" s="4" t="inlineStr">
        <is>
          <t>목표수립 · HR·경영진</t>
        </is>
      </c>
      <c r="D114" s="4" t="inlineStr">
        <is>
          <t>조회 전용이므로 남는 기록이 없다. 같은 원인의 실제 조치는 HR용 카드(목표수립-HR경영진-05)의 난이도 재검토 요청으로 남으므로, 이 카드는 05와 묶어 생성하고 단독으로는 띄우지 않는다</t>
        </is>
      </c>
      <c r="E114" s="10" t="n"/>
    </row>
    <row r="115">
      <c r="B115" s="3" t="inlineStr">
        <is>
          <t>목표수립-HR경영진-05</t>
        </is>
      </c>
      <c r="C115" s="3" t="inlineStr">
        <is>
          <t>목표수립 · HR·경영진</t>
        </is>
      </c>
      <c r="D115" s="3" t="inlineStr">
        <is>
          <t>같은 원인으로 경영진용 카드(목표수립-HR경영진-03)가 함께 생성된다 — HR은 기준 안내·보완 독려, 경영진은 조직 목표 재정렬 요청으로 K·L·M만 갈린다. 조직장(1차)이 팀원 목표 정렬 카드를 먼저 받는다는 전제. 상위목표 연결은 목표 40건 중 95% 채워져 판정 가능</t>
        </is>
      </c>
      <c r="E115" s="10" t="n"/>
    </row>
    <row r="116">
      <c r="B116" s="4" t="inlineStr">
        <is>
          <t>목표수립-HR경영진-06</t>
        </is>
      </c>
      <c r="C116" s="4" t="inlineStr">
        <is>
          <t>목표수립 · HR·경영진</t>
        </is>
      </c>
      <c r="D116" s="4" t="inlineStr">
        <is>
          <t>HR용 카드(목표수립-HR경영진-02)와 같은 원인·같은 근거를 쓰고 행동만 다르다(HR=기준 안내, 경영진=조직 재정렬 요청). 두 카드가 함께 뜨므로 한쪽이 해소되면 다른 쪽 문구를 갱신한다. 전략과제 연결은 목표 100%·과제별 KPI가 있어 판정 가능</t>
        </is>
      </c>
      <c r="E116" s="10" t="n"/>
    </row>
    <row r="117">
      <c r="B117" s="3" t="inlineStr">
        <is>
          <t>목표수립-HR경영진-07</t>
        </is>
      </c>
      <c r="C117" s="3" t="inlineStr">
        <is>
          <t>목표수립 · HR·경영진</t>
        </is>
      </c>
      <c r="D117" s="3" t="inlineStr">
        <is>
          <t>발령·직무이동 이력 채움률이 221명 중 1명(0.5%)이라 휴넬·JaDE 발령 원천 연동 확인 필요 — 이 신호의 전제. 조직 개편 이력 테이블도 확인 필요. 중간점검 단계의 같은 원인은 이 카드로 흡수한다</t>
        </is>
      </c>
      <c r="E117" s="10" t="n"/>
    </row>
    <row r="118">
      <c r="B118" s="4" t="inlineStr">
        <is>
          <t>중간점검-조직원-01</t>
        </is>
      </c>
      <c r="C118" s="4" t="inlineStr">
        <is>
          <t>중간점검 · 조직원</t>
        </is>
      </c>
      <c r="D118" s="4" t="inlineStr">
        <is>
          <t>점검 360건의 작성일은 실측 확인. 다만 목표 소유자와 점검 작성자 일치율이 5.6%여서 '내 목표'의 소유권 정의 확인 필요</t>
        </is>
      </c>
      <c r="E118" s="10" t="n"/>
    </row>
    <row r="119">
      <c r="B119" s="3" t="inlineStr">
        <is>
          <t>중간점검-조직원-02</t>
        </is>
      </c>
      <c r="C119" s="3" t="inlineStr">
        <is>
          <t>중간점검 · 조직원</t>
        </is>
      </c>
      <c r="D119" s="3" t="inlineStr">
        <is>
          <t>목표·핵심결과 진척률과 장애요인(70%)·확신도는 실측 확인. 기간 경과율 계산에 목표 기간의 시작·종료 날짜가 필요하나 현재는 기간 문자열뿐 — 일정 마스터 확인 필요</t>
        </is>
      </c>
      <c r="E119" s="10" t="n"/>
    </row>
    <row r="120">
      <c r="B120" s="4" t="inlineStr">
        <is>
          <t>중간점검-조직원-03</t>
        </is>
      </c>
      <c r="C120" s="4" t="inlineStr">
        <is>
          <t>중간점검 · 조직원</t>
        </is>
      </c>
      <c r="D120" s="4" t="inlineStr">
        <is>
          <t>점검의 진척 증감은 실측 확인(360건). 핵심결과 현재값의 변경 이력이 없어 '32일째 동일'을 판정할 수 없음 — 값 변경 이력 신설 확인 필요. ②(비어 있다)와 원인이 겹쳐 보이므로, 점검이 계속 써지고 있을 때만 이 신호를 띄우고 그 외는 ②로 처리</t>
        </is>
      </c>
      <c r="E120" s="10" t="n"/>
    </row>
    <row r="121">
      <c r="B121" s="3" t="inlineStr">
        <is>
          <t>중간점검-조직원-04</t>
        </is>
      </c>
      <c r="C121" s="3" t="inlineStr">
        <is>
          <t>중간점검 · 조직원</t>
        </is>
      </c>
      <c r="D121" s="3" t="inlineStr">
        <is>
          <t>상위 목표 연결은 실측 95%. 목표의 변경 이력·최종 수정 일시가 없어 신설 필요(확인 1순위). 같은 원인으로 조직장(1차)에게도 알림이 가능하므로 조직원 먼저, 3일 안에 반영되지 않을 때만 조직장에게 올리도록 순서 지정 필요</t>
        </is>
      </c>
      <c r="E121" s="10" t="n"/>
    </row>
    <row r="122">
      <c r="B122" s="4" t="inlineStr">
        <is>
          <t>중간점검-조직원-05</t>
        </is>
      </c>
      <c r="C122" s="4" t="inlineStr">
        <is>
          <t>중간점검 · 조직원</t>
        </is>
      </c>
      <c r="D122" s="4" t="inlineStr">
        <is>
          <t>훑은 흔적으로만 남김. '같은 목표에 함께 걸린 동료'를 판정할 목표-참여자 관계가 사실상 없어 제외(신호 3조건 중 ③ 규칙 판정 불가). 목표에 공동 담당자 필드가 생기면 다시 검토</t>
        </is>
      </c>
      <c r="E122" s="10" t="n"/>
    </row>
    <row r="123">
      <c r="B123" s="3" t="inlineStr">
        <is>
          <t>중간점검-조직장1차-01</t>
        </is>
      </c>
      <c r="C123" s="3" t="inlineStr">
        <is>
          <t>중간점검 · 조직장(1차)</t>
        </is>
      </c>
      <c r="D123" s="3" t="inlineStr">
        <is>
          <t>점검 회차와 마감일을 담는 일정 마스터가 없음 — 신설 확인 필요. 조직원에게 같은 원인 카드가 먼저 뜨므로 1차 카드는 마감 3일 전부터만 만든다</t>
        </is>
      </c>
      <c r="E123" s="10" t="n"/>
    </row>
    <row r="124">
      <c r="B124" s="4" t="inlineStr">
        <is>
          <t>중간점검-조직장1차-02</t>
        </is>
      </c>
      <c r="C124" s="4" t="inlineStr">
        <is>
          <t>중간점검 · 조직장(1차)</t>
        </is>
      </c>
      <c r="D124" s="4" t="inlineStr">
        <is>
          <t>점검 작성일은 실측 확인됨(360건). 마감 임박 카드(중간점검-조직장1차-01)가 떠 있는 동안에는 이 카드를 만들지 않는다</t>
        </is>
      </c>
      <c r="E124" s="10" t="n"/>
    </row>
    <row r="125">
      <c r="B125" s="3" t="inlineStr">
        <is>
          <t>중간점검-조직장1차-03</t>
        </is>
      </c>
      <c r="C125" s="3" t="inlineStr">
        <is>
          <t>중간점검 · 조직장(1차)</t>
        </is>
      </c>
      <c r="D125" s="3" t="inlineStr">
        <is>
          <t>확신도(high/medium/low)와 진척 증감은 실측 확인됨(점검 360건). 1on1 기록이 브라우저 80건 롤링뿐이어서 서버 보존 신설 필요</t>
        </is>
      </c>
      <c r="E125" s="10" t="n"/>
    </row>
    <row r="126">
      <c r="B126" s="4" t="inlineStr">
        <is>
          <t>중간점검-조직장1차-04</t>
        </is>
      </c>
      <c r="C126" s="4" t="inlineStr">
        <is>
          <t>중간점검 · 조직장(1차)</t>
        </is>
      </c>
      <c r="D126" s="4" t="inlineStr">
        <is>
          <t>좋아요 수는 실측 있으나 줄었다고 해서 조직장이 무엇을 해야 하는지 정해지지 않아 제외(신호 3조건 중 '특정한 사람이 무언가를 해야 한다'가 빠짐)</t>
        </is>
      </c>
      <c r="E126" s="10" t="n"/>
    </row>
    <row r="127">
      <c r="B127" s="3" t="inlineStr">
        <is>
          <t>중간점검-조직장1차-05</t>
        </is>
      </c>
      <c r="C127" s="3" t="inlineStr">
        <is>
          <t>중간점검 · 조직장(1차)</t>
        </is>
      </c>
      <c r="D127" s="3" t="inlineStr">
        <is>
          <t>장애요인 채움률 70% 실측. 같은 팀원에게 1on1 카드(중간점검-조직장1차-03)가 이미 있으면 새 카드를 만들지 않고 그 카드의 이야기할 항목에만 더한다. 1on1 기록 서버 보존 신설 필요</t>
        </is>
      </c>
      <c r="E127" s="10" t="n"/>
    </row>
    <row r="128">
      <c r="B128" s="4" t="inlineStr">
        <is>
          <t>중간점검-조직장2차-01</t>
        </is>
      </c>
      <c r="C128" s="4" t="inlineStr">
        <is>
          <t>중간점검 · 조직장(2차)</t>
        </is>
      </c>
      <c r="D128" s="4" t="inlineStr">
        <is>
          <t>중간점검 기간의 마감일을 담는 일정 마스터가 없음 — 신설 필요. 억제: 팀원 개인 점검 독려는 1차가 먼저 하고, 2차에는 팀 합계만 올린다</t>
        </is>
      </c>
      <c r="E128" s="10" t="n"/>
    </row>
    <row r="129">
      <c r="B129" s="3" t="inlineStr">
        <is>
          <t>중간점검-조직장2차-02</t>
        </is>
      </c>
      <c r="C129" s="3" t="inlineStr">
        <is>
          <t>중간점검 · 조직장(2차)</t>
        </is>
      </c>
      <c r="D129" s="3" t="inlineStr">
        <is>
          <t>점검 작성일은 실측 존재(360건)로 판정 가능. 1on1·회의 기록이 브라우저 80건 롤링이라 서버 보존 신설 필요. 억제: 같은 원인으로 1차에게 팀원별 점검 공백 알림이 먼저 뜬 뒤에만 2차 팀 합계 카드를 만든다</t>
        </is>
      </c>
      <c r="E129" s="10" t="n"/>
    </row>
    <row r="130">
      <c r="B130" s="4" t="inlineStr">
        <is>
          <t>중간점검-조직장2차-03</t>
        </is>
      </c>
      <c r="C130" s="4" t="inlineStr">
        <is>
          <t>중간점검 · 조직장(2차)</t>
        </is>
      </c>
      <c r="D130" s="4" t="inlineStr">
        <is>
          <t>진척률·가중치는 실측 존재. 기간 경과 대비 기대 진척을 계산할 기간 일정 마스터가 없음 — 신설 필요. 억제: 팀원 개인의 진척 저조는 1차에게만 뜨고, 2차에는 팀 평균 비교로만 올린다</t>
        </is>
      </c>
      <c r="E130" s="10" t="n"/>
    </row>
    <row r="131">
      <c r="B131" s="3" t="inlineStr">
        <is>
          <t>중간점검-조직장2차-04</t>
        </is>
      </c>
      <c r="C131" s="3" t="inlineStr">
        <is>
          <t>중간점검 · 조직장(2차)</t>
        </is>
      </c>
      <c r="D131" s="3" t="inlineStr">
        <is>
          <t>진척 증감·전략과제 KPI는 실측 존재(전략과제 연결 100%). 하위 목표 진척이 상위 목표 진척에 반영되는 계산 규칙 확인 필요. 억제: 이 카드는 2차 전용 — 상위 목표 소유자가 2차이므로 1차·조직원에는 만들지 않는다</t>
        </is>
      </c>
      <c r="E131" s="10" t="n"/>
    </row>
    <row r="132">
      <c r="B132" s="4" t="inlineStr">
        <is>
          <t>중간점검-조직장2차-05</t>
        </is>
      </c>
      <c r="C132" s="4" t="inlineStr">
        <is>
          <t>중간점검 · 조직장(2차)</t>
        </is>
      </c>
      <c r="D132" s="4" t="inlineStr">
        <is>
          <t>장애요인 필드 채움률 70% 실측. 다만 자유서술이라 같은 항목으로 묶는 기준이 없음 — 장애요인 항목 코드 목록 신설 필요(규칙 판정의 전제). 억제: 장애요인 1건은 1차가 먼저 처리하고, 여러 팀에 걸쳐 반복될 때만 2차로 올린다</t>
        </is>
      </c>
      <c r="E132" s="10" t="n"/>
    </row>
    <row r="133">
      <c r="B133" s="3" t="inlineStr">
        <is>
          <t>중간점검-HR경영진-01</t>
        </is>
      </c>
      <c r="C133" s="3" t="inlineStr">
        <is>
          <t>중간점검 · HR·경영진</t>
        </is>
      </c>
      <c r="D133" s="3" t="inlineStr">
        <is>
          <t>중간점검 기간의 개시일·마감일을 담은 일정 마스터가 없어 신설 필요. 점검 360건에 작성일이 있어 참여율 집계는 가능. 조직장(1차)의 팀원별 점검 독려 카드가 먼저 떴다는 전제 아래 생성한다</t>
        </is>
      </c>
      <c r="E133" s="10" t="n"/>
    </row>
    <row r="134">
      <c r="B134" s="4" t="inlineStr">
        <is>
          <t>중간점검-HR경영진-02</t>
        </is>
      </c>
      <c r="C134" s="4" t="inlineStr">
        <is>
          <t>중간점검 · HR·경영진</t>
        </is>
      </c>
      <c r="D134" s="4" t="inlineStr">
        <is>
          <t>같은 원인으로 경영진용 카드(중간점검-HR경영진-03)가 함께 뜬다 — HR=점검·계획 보완 안내, 경영진=인력·자원 재배분 검토 요청. 조직장(1차)이 팀원별 진척 카드를 먼저 받는다는 전제. 점검 360건 중 70%에 장애요인이 있어 초안 재료로 쓸 수 있다</t>
        </is>
      </c>
      <c r="E134" s="10" t="n"/>
    </row>
    <row r="135">
      <c r="B135" s="3" t="inlineStr">
        <is>
          <t>중간점검-HR경영진-03</t>
        </is>
      </c>
      <c r="C135" s="3" t="inlineStr">
        <is>
          <t>중간점검 · HR·경영진</t>
        </is>
      </c>
      <c r="D135" s="3" t="inlineStr">
        <is>
          <t>HR용 카드(중간점검-HR경영진-02)와 같은 원인을 쓰고 행동만 다르다. 두 카드가 함께 뜨므로 한쪽이 해소되면 다른 쪽 문구를 갱신한다. 점검의 진척 증감·확신도·장애요인은 실제 있으나 장애요인 유형 분류 체계는 확인 필요</t>
        </is>
      </c>
      <c r="E135" s="10" t="n"/>
    </row>
    <row r="136">
      <c r="B136" s="4" t="inlineStr">
        <is>
          <t>중간점검-HR경영진-04</t>
        </is>
      </c>
      <c r="C136" s="4" t="inlineStr">
        <is>
          <t>중간점검 · HR·경영진</t>
        </is>
      </c>
      <c r="D136" s="4" t="inlineStr">
        <is>
          <t>목표 40건 중 개인 목표가 1건뿐이고 목표 소유자와 점검 작성자 일치율이 5.6%여서 조직목표-하위목표 진척 비교의 모수 정의 확인 필요. 상위목표 연결 95%·핵심결과의 직무 과업 참조 100%라 연결 판정 자체는 가능</t>
        </is>
      </c>
      <c r="E136" s="10" t="n"/>
    </row>
    <row r="137">
      <c r="B137" s="3" t="inlineStr">
        <is>
          <t>평가-조직원-01</t>
        </is>
      </c>
      <c r="C137" s="3" t="inlineStr">
        <is>
          <t>평가 · 조직원</t>
        </is>
      </c>
      <c r="D137" s="3" t="inlineStr">
        <is>
          <t>자기평가가 현재 임시 저장(탭 종료 시 소멸)뿐이라 제출 기록 저장 위치 신설이 전제. 평가 기간 일정 마스터도 없어 마감일 원천 확인 필요</t>
        </is>
      </c>
      <c r="E137" s="10" t="n"/>
    </row>
    <row r="138">
      <c r="B138" s="4" t="inlineStr">
        <is>
          <t>평가-조직원-02</t>
        </is>
      </c>
      <c r="C138" s="4" t="inlineStr">
        <is>
          <t>평가 · 조직원</t>
        </is>
      </c>
      <c r="D138" s="4" t="inlineStr">
        <is>
          <t>점검 건수·작성자·작성일은 실측 확인(360건). 평가 기간의 시작·종료 날짜는 일정 마스터 확인 필요. 중간점검 단계의 ②와 원인이 겹치므로 평가 기간 개시 이후에만 이 신호를 쓰고 그 전에는 중간점검 쪽으로 넘김</t>
        </is>
      </c>
      <c r="E138" s="10" t="n"/>
    </row>
    <row r="139">
      <c r="B139" s="3" t="inlineStr">
        <is>
          <t>평가-조직원-03</t>
        </is>
      </c>
      <c r="C139" s="3" t="inlineStr">
        <is>
          <t>평가 · 조직원</t>
        </is>
      </c>
      <c r="D139" s="3" t="inlineStr">
        <is>
          <t>훑은 흔적으로만 남김. 확정 전 점수와 타인 평균 노출은 제도상 불가하고, 점수를 두고 본인이 할 수 있는 행동이 없어 제외(신호 3조건 중 ② 불충족). 등급 확정 후 결과 안내는 알림이 아니라 화면 조회로 처리. 등급 분포 이탈은 HR·경영진 칸에서 다룸</t>
        </is>
      </c>
      <c r="E139" s="10" t="n"/>
    </row>
    <row r="140">
      <c r="B140" s="4" t="inlineStr">
        <is>
          <t>평가-조직원-04</t>
        </is>
      </c>
      <c r="C140" s="4" t="inlineStr">
        <is>
          <t>평가 · 조직원</t>
        </is>
      </c>
      <c r="D140" s="4" t="inlineStr">
        <is>
          <t>핵심결과 진척·가중치·난이도 근거(98.6%)는 실측 확인. 자기평가 제출 저장이 임시 저장뿐이라 비교할 원천이 없음 — 자기평가 저장 위치 신설이 전제. 같은 불일치를 조직장(1차)도 볼 수 있으므로 본인이 먼저 고칠 기회를 갖도록 1차 알림은 자기평가 제출 확정 이후로 미룸</t>
        </is>
      </c>
      <c r="E140" s="10" t="n"/>
    </row>
    <row r="141">
      <c r="B141" s="3" t="inlineStr">
        <is>
          <t>평가-조직원-05</t>
        </is>
      </c>
      <c r="C141" s="3" t="inlineStr">
        <is>
          <t>평가 · 조직원</t>
        </is>
      </c>
      <c r="D141" s="3" t="inlineStr">
        <is>
          <t>상위자 사번은 99.5% 실측이나, 평가 레코드에 1차·2차 평가자 매핑과 제출 시각이 없어 '평가자 변경' 판정 불가 — 평가자 매핑 신설이 전제. 발령 이력 채움률 0.5%도 함께 확인 필요. 조직장(1차)에게도 '기간 중 합류한 팀원' 알림이 필요하므로 짝으로 설계</t>
        </is>
      </c>
      <c r="E141" s="10" t="n"/>
    </row>
    <row r="142">
      <c r="B142" s="4" t="inlineStr">
        <is>
          <t>평가-조직장1차-01</t>
        </is>
      </c>
      <c r="C142" s="4" t="inlineStr">
        <is>
          <t>평가 · 조직장(1차)</t>
        </is>
      </c>
      <c r="D142" s="4" t="inlineStr">
        <is>
          <t>평가자 매핑(1차·2차)과 제출 시각·제출 상태가 평가 레코드에 없음 — 이 신호와 조직장(2차) 신호 전체의 전제이므로 신설 확인 필요. 평가 기간 일정 마스터도 없음</t>
        </is>
      </c>
      <c r="E142" s="10" t="n"/>
    </row>
    <row r="143">
      <c r="B143" s="3" t="inlineStr">
        <is>
          <t>평가-조직장1차-02</t>
        </is>
      </c>
      <c r="C143" s="3" t="inlineStr">
        <is>
          <t>평가 · 조직장(1차)</t>
        </is>
      </c>
      <c r="D143" s="3" t="inlineStr">
        <is>
          <t>점검 건수는 실측 확인됨. 피어 리뷰는 13명 한정이어서 0건이 흔하므로 판정은 점검 건수만으로 할지 확인 필요</t>
        </is>
      </c>
      <c r="E143" s="10" t="n"/>
    </row>
    <row r="144">
      <c r="B144" s="4" t="inlineStr">
        <is>
          <t>평가-조직장1차-03</t>
        </is>
      </c>
      <c r="C144" s="4" t="inlineStr">
        <is>
          <t>평가 · 조직장(1차)</t>
        </is>
      </c>
      <c r="D144" s="4" t="inlineStr">
        <is>
          <t>등급·종합점수·근거 요약문·가중치·난이도는 실측 확인됨. 근거 요약문에 이유가 적혀 있는지를 규칙만으로 가리기 어려워 '적혀 있지 않음'을 무엇으로 볼지 확인 필요(난이도 근거 인용 여부 등). 평가 수정 이력 저장 위치 없음. 같은 원인의 조직장(2차) 카드보다 7일 먼저 1차에 띄운다</t>
        </is>
      </c>
      <c r="E144" s="10" t="n"/>
    </row>
    <row r="145">
      <c r="B145" s="3" t="inlineStr">
        <is>
          <t>평가-조직장1차-04</t>
        </is>
      </c>
      <c r="C145" s="3" t="inlineStr">
        <is>
          <t>평가 · 조직장(1차)</t>
        </is>
      </c>
      <c r="D145" s="3" t="inlineStr">
        <is>
          <t>발령·직무이동 이력 채움률 0.5% — 휴넬·JaDE 발령 원천 연동이 전제. 이전 조직의 조직장 사번은 조직 38개 데이터에 있어 특정 가능. 받은 근거를 평가에 붙여 두는 저장 위치가 없음</t>
        </is>
      </c>
      <c r="E145" s="10" t="n"/>
    </row>
    <row r="146">
      <c r="B146" s="4" t="inlineStr">
        <is>
          <t>평가-조직장2차-01</t>
        </is>
      </c>
      <c r="C146" s="4" t="inlineStr">
        <is>
          <t>평가 · 조직장(2차)</t>
        </is>
      </c>
      <c r="D146" s="4" t="inlineStr">
        <is>
          <t>평가자 매핑(1차·2차)과 제출 상태·제출 시각이 평가 레코드에 없음 — 조직장(2차) 신호 전체의 전제, 신설 필요. 평가 기간 일정 마스터도 없음 — 신설 필요. 억제: 팀원별 미제출 독려는 1차 몫이고, 2차에는 평가자·팀 단위 제출률로만 올린다</t>
        </is>
      </c>
      <c r="E146" s="10" t="n"/>
    </row>
    <row r="147">
      <c r="B147" s="3" t="inlineStr">
        <is>
          <t>평가-조직장2차-02</t>
        </is>
      </c>
      <c r="C147" s="3" t="inlineStr">
        <is>
          <t>평가 · 조직장(2차)</t>
        </is>
      </c>
      <c r="D147" s="3" t="inlineStr">
        <is>
          <t>평가 근거 요약문은 실측 존재(221건). 다만 평가자 매핑이 없어 '누가 쓴 근거'인지 현재 확인 불가 — 신설 필요. 관측 대상은 팀원이 아니라 1차 평가자의 작성 충실도. 억제: 평가 1건의 근거 부족은 1차에게 먼저 뜨고, 2차에는 평가자 단위로 묶어서만 올린다</t>
        </is>
      </c>
      <c r="E147" s="10" t="n"/>
    </row>
    <row r="148">
      <c r="B148" s="4" t="inlineStr">
        <is>
          <t>평가-조직장2차-03</t>
        </is>
      </c>
      <c r="C148" s="4" t="inlineStr">
        <is>
          <t>평가 · 조직장(2차)</t>
        </is>
      </c>
      <c r="D148" s="4" t="inlineStr">
        <is>
          <t>등급(S/A/B/C)과 과거 평가 이력(204명, FY2024~2025)은 실측 존재. 평가자 매핑이 없어 '평가자별' 집계가 현재 불가 — 신설 필요. 등급 조정 이력·조정 회의 기록이 브라우저 임시 저장뿐 — 서버 보존 신설 필요. 관대화(상위 쏠림)와 중앙집중(중간 쏠림)을 한 규칙의 두 방향으로 둔다. 억제: 팀원 개인의 등급 자체는 2차에 개별로 올리지 않는다</t>
        </is>
      </c>
      <c r="E148" s="10" t="n"/>
    </row>
    <row r="149">
      <c r="B149" s="3" t="inlineStr">
        <is>
          <t>평가-조직장2차-04</t>
        </is>
      </c>
      <c r="C149" s="3" t="inlineStr">
        <is>
          <t>평가 · 조직장(2차)</t>
        </is>
      </c>
      <c r="D149" s="3" t="inlineStr">
        <is>
          <t>3요소 점수·등급·진척은 실측 존재(평가 221건). 평가자 매핑이 없어 평가자 단위로 묶을 수 없음 — 신설 필요. 억제: 개별 1건은 1차가 먼저 볼 기회를 가진 뒤 3건 이상 모일 때만 2차 카드를 만든다</t>
        </is>
      </c>
      <c r="E149" s="10" t="n"/>
    </row>
    <row r="150">
      <c r="B150" s="4" t="inlineStr">
        <is>
          <t>평가-조직장2차-05</t>
        </is>
      </c>
      <c r="C150" s="4" t="inlineStr">
        <is>
          <t>평가 · 조직장(2차)</t>
        </is>
      </c>
      <c r="D150" s="4" t="inlineStr">
        <is>
          <t>등급 조정 이력과 조정 세션 기록이 브라우저 임시 저장뿐 — 변경 이력(전·후 값·시각·변경자) 신설 필요, 이 신호의 전제. 억제: 1차 평가자 본인의 행위이므로 1차에는 카드를 만들지 않고 2차 전용으로 둔다. 팀원 본인에게는 확정 통보 단계에서만 보인다</t>
        </is>
      </c>
      <c r="E150" s="10" t="n"/>
    </row>
    <row r="151">
      <c r="B151" s="3" t="inlineStr">
        <is>
          <t>평가-HR경영진-01</t>
        </is>
      </c>
      <c r="C151" s="3" t="inlineStr">
        <is>
          <t>평가 · HR·경영진</t>
        </is>
      </c>
      <c r="D151" s="3" t="inlineStr">
        <is>
          <t>평가 레코드에 평가자 매핑·제출 시각·제출 상태가 없어 신설 필요, 평가 기간 일정 마스터도 없음 — 두 항목이 이 카드의 전제다. 조직장(1차)·조직장(2차)에게 먼저 미제출 카드가 떴다는 전제 아래 생성한다</t>
        </is>
      </c>
      <c r="E151" s="10" t="n"/>
    </row>
    <row r="152">
      <c r="B152" s="4" t="inlineStr">
        <is>
          <t>평가-HR경영진-02</t>
        </is>
      </c>
      <c r="C152" s="4" t="inlineStr">
        <is>
          <t>평가 · HR·경영진</t>
        </is>
      </c>
      <c r="D152" s="4" t="inlineStr">
        <is>
          <t>평가 221건에 근거 요약문은 있으나 그 근거가 어느 점검·다면 기록을 인용했는지 연결 정보가 없어 확인·신설 필요. 근거 최소 글자수 등 제도 기준값도 정해야 한다. 조직장(2차)의 1차 평가 충실도 카드가 먼저 뜬다는 전제</t>
        </is>
      </c>
      <c r="E152" s="10" t="n"/>
    </row>
    <row r="153">
      <c r="B153" s="3" t="inlineStr">
        <is>
          <t>평가-HR경영진-03</t>
        </is>
      </c>
      <c r="C153" s="3" t="inlineStr">
        <is>
          <t>평가 · HR·경영진</t>
        </is>
      </c>
      <c r="D153" s="3" t="inlineStr">
        <is>
          <t>등급 조정 이력·calibration 세션 기록이 브라우저 임시 저장뿐이라 서버 보존 신설 필요. 등급 분포 가이드라인 값도 제도로 정해야 한다. 등급(S/A/B/C) 221건과 과거 이력 204명분은 실제로 있어 분포 판정은 가능. 경영진용 카드(평가-HR경영진-04)와 같은 원인</t>
        </is>
      </c>
      <c r="E153" s="10" t="n"/>
    </row>
    <row r="154">
      <c r="B154" s="4" t="inlineStr">
        <is>
          <t>평가-HR경영진-04</t>
        </is>
      </c>
      <c r="C154" s="4" t="inlineStr">
        <is>
          <t>평가 · HR·경영진</t>
        </is>
      </c>
      <c r="D154" s="4" t="inlineStr">
        <is>
          <t>HR용 카드(평가-HR경영진-03)와 같은 원인·같은 근거를 쓰고 행동만 다르다(HR=조정 회의 소집, 경영진=2차 평가자 재검토 지시). 2차 평가자 매핑이 없어 수신자를 정할 수 없으므로 평가자 매핑 신설 필요</t>
        </is>
      </c>
      <c r="E154" s="10" t="n"/>
    </row>
    <row r="155">
      <c r="B155" s="3" t="inlineStr">
        <is>
          <t>평가-HR경영진-05</t>
        </is>
      </c>
      <c r="C155" s="3" t="inlineStr">
        <is>
          <t>평가 · HR·경영진</t>
        </is>
      </c>
      <c r="D155" s="3" t="inlineStr">
        <is>
          <t>평가 3요소 원점수·정규화점수·등급과 목표 진척률이 모두 있어 판정 가능하나, 평가가 어느 목표·핵심결과를 근거로 삼았는지 연결 정보가 없어 확인 필요. 등급 조정 이력 저장 위치 신설 필요. 조직장(2차)의 팀 단위 카드가 먼저 뜬다는 전제이며 개인 이름은 노출하지 않고 조직 단위 인원 수만 보여준다</t>
        </is>
      </c>
      <c r="E155" s="10" t="n"/>
    </row>
    <row r="156">
      <c r="B156" s="4" t="inlineStr">
        <is>
          <t>평가-HR경영진-06</t>
        </is>
      </c>
      <c r="C156" s="4" t="inlineStr">
        <is>
          <t>평가 · HR·경영진</t>
        </is>
      </c>
      <c r="D156" s="4" t="inlineStr">
        <is>
          <t>발령·직무이동 이력 채움률 0.5%(221명 중 1명)이고 평가자 매핑 자체가 없어 두 항목 모두 확인·신설 필요 — 두 원천이 갖춰진 뒤에 켠다</t>
        </is>
      </c>
      <c r="E156" s="10" t="n"/>
    </row>
    <row r="157">
      <c r="B157" s="3" t="inlineStr">
        <is>
          <t>피드백-조직원-01</t>
        </is>
      </c>
      <c r="C157" s="3" t="inlineStr">
        <is>
          <t>피드백 · 조직원</t>
        </is>
      </c>
      <c r="D157" s="3" t="inlineStr">
        <is>
          <t>현 데모에서 다면진단 제출 결과가 어디에도 저장되지 않음 — 제출 기록 저장 위치 신설이 전제. 배정 목록과 마감일 원천도 확인 필요. 시드 피어리뷰 55건은 화면에 미사용</t>
        </is>
      </c>
      <c r="E157" s="10" t="n"/>
    </row>
    <row r="158">
      <c r="B158" s="4" t="inlineStr">
        <is>
          <t>피드백-조직원-02</t>
        </is>
      </c>
      <c r="C158" s="4" t="inlineStr">
        <is>
          <t>피드백 · 조직원</t>
        </is>
      </c>
      <c r="D158" s="4" t="inlineStr">
        <is>
          <t>직무프로파일 98종의 역량 가중치와 역량 5종·스킬사전 749종은 실측 확인. 다면 리뷰가 13명 55건에만 있어 모수 부족 — 전사 시행 여부 확인 필요. 개발 메모 저장 위치도 없어 신설 필요. 재알림은 다면 결과가 사이클당 1회만 산출되므로 1회로 둠</t>
        </is>
      </c>
      <c r="E158" s="10" t="n"/>
    </row>
    <row r="159">
      <c r="B159" s="3" t="inlineStr">
        <is>
          <t>피드백-조직원-03</t>
        </is>
      </c>
      <c r="C159" s="3" t="inlineStr">
        <is>
          <t>피드백 · 조직원</t>
        </is>
      </c>
      <c r="D159" s="3" t="inlineStr">
        <is>
          <t>받은 피드백 기록 7건·상향 피드백 2건으로 데이터 희박. 피드백 전달 여부(보냄·받음·열람) 기록이 없어 신설 필요. '같은 목표에 함께 걸린 동료' 판정은 목표-참여자 관계 정의가 있어야 가능(현재 개인 목표 1건) — 관계가 없으면 이 신호를 띄우지 않음</t>
        </is>
      </c>
      <c r="E159" s="10" t="n"/>
    </row>
    <row r="160">
      <c r="B160" s="4" t="inlineStr">
        <is>
          <t>피드백-조직장1차-01</t>
        </is>
      </c>
      <c r="C160" s="4" t="inlineStr">
        <is>
          <t>피드백 · 조직장(1차)</t>
        </is>
      </c>
      <c r="D160" s="4" t="inlineStr">
        <is>
          <t>피드백 면담 기간 일정과 면담 기록이 모두 서버에 없음(1on1 기록은 브라우저 80건 롤링) — 둘 다 신설 확인 필요</t>
        </is>
      </c>
      <c r="E160" s="10" t="n"/>
    </row>
    <row r="161">
      <c r="B161" s="3" t="inlineStr">
        <is>
          <t>피드백-조직장1차-02</t>
        </is>
      </c>
      <c r="C161" s="3" t="inlineStr">
        <is>
          <t>피드백 · 조직장(1차)</t>
        </is>
      </c>
      <c r="D161" s="3" t="inlineStr">
        <is>
          <t>피드백 전달 여부(보냄·받음·열람) 기록이 없고 받은 피드백 기록도 7건뿐 — 이 신호의 전제이므로 신설 확인 필요. 피드백 초안 저장 위치도 함께 필요</t>
        </is>
      </c>
      <c r="E161" s="10" t="n"/>
    </row>
    <row r="162">
      <c r="B162" s="4" t="inlineStr">
        <is>
          <t>피드백-조직장1차-03</t>
        </is>
      </c>
      <c r="C162" s="4" t="inlineStr">
        <is>
          <t>피드백 · 조직장(1차)</t>
        </is>
      </c>
      <c r="D162" s="4" t="inlineStr">
        <is>
          <t>피어 리뷰 55건은 13명 한정이고 화면에 쓰이지 않으며 다면진단 제출 결과가 어디에도 저장되지 않음 — 다면 데이터 저장과 모수 확대가 이 신호의 전제. 역량 프로파일(역량별 가중치)은 실측 확인됨</t>
        </is>
      </c>
      <c r="E162" s="10" t="n"/>
    </row>
    <row r="163">
      <c r="B163" s="3" t="inlineStr">
        <is>
          <t>피드백-조직장2차-01</t>
        </is>
      </c>
      <c r="C163" s="3" t="inlineStr">
        <is>
          <t>피드백 · 조직장(2차)</t>
        </is>
      </c>
      <c r="D163" s="3" t="inlineStr">
        <is>
          <t>결과 면담 기간을 담는 일정 마스터 없음 — 신설 필요. 1on1·면담 기록이 브라우저 80건 롤링 — 서버 보존 신설 필요. 억제: 대상자별 면담 독려는 1차 몫이고, 2차에는 팀 합계만 올린다</t>
        </is>
      </c>
      <c r="E163" s="10" t="n"/>
    </row>
    <row r="164">
      <c r="B164" s="4" t="inlineStr">
        <is>
          <t>피드백-조직장2차-02</t>
        </is>
      </c>
      <c r="C164" s="4" t="inlineStr">
        <is>
          <t>피드백 · 조직장(2차)</t>
        </is>
      </c>
      <c r="D164" s="4" t="inlineStr">
        <is>
          <t>1on1·면담 합의 기록이 브라우저 80건 롤링 — 서버 보존 신설 필요. 등급 확정일 필드 확인 필요. 관측 대상은 팀원이 아니라 1차 평가자의 면담 실시 행위. 억제: 대상자 개인의 면담 미실시는 1차에게만 뜨고, 2차에는 팀 단위로 묶어 올린다</t>
        </is>
      </c>
      <c r="E164" s="10" t="n"/>
    </row>
    <row r="165">
      <c r="B165" s="3" t="inlineStr">
        <is>
          <t>피드백-조직장2차-03</t>
        </is>
      </c>
      <c r="C165" s="3" t="inlineStr">
        <is>
          <t>피드백 · 조직장(2차)</t>
        </is>
      </c>
      <c r="D165" s="3" t="inlineStr">
        <is>
          <t>개발·육성 의견을 담는 필드가 따로 없음(평가 근거 요약문과 다면 리뷰 코멘트뿐) — 신설 필요. 다면 리뷰가 13명 한정(55건)이라 근거가 얇음 — 모수 확인 필요. 억제: 개별 1건은 1차에게 먼저 뜨고, 3건 이상 모일 때만 2차 카드를 만든다</t>
        </is>
      </c>
      <c r="E165" s="10" t="n"/>
    </row>
    <row r="166">
      <c r="B166" s="4" t="inlineStr">
        <is>
          <t>피드백-조직장2차-04</t>
        </is>
      </c>
      <c r="C166" s="4" t="inlineStr">
        <is>
          <t>피드백 · 조직장(2차)</t>
        </is>
      </c>
      <c r="D166" s="4" t="inlineStr">
        <is>
          <t>상향 피드백이 2건뿐이고 전달·열람 기록이 없어 팀 합계 최소 건수(3건)를 채울 수 없다. 익명 수집이라 합쳐도 대상 1차 평가자를 특정하기 어려워 2차가 할 행동이 들여다보기로 끝난다(위로 올릴 3조건 중 ①③ 미충족). 상향 피드백 수집 방식과 저장 위치가 정해진 뒤 재검토 필요</t>
        </is>
      </c>
      <c r="E166" s="10" t="n"/>
    </row>
    <row r="167">
      <c r="B167" s="3" t="inlineStr">
        <is>
          <t>피드백-HR경영진-01</t>
        </is>
      </c>
      <c r="C167" s="3" t="inlineStr">
        <is>
          <t>피드백 · HR·경영진</t>
        </is>
      </c>
      <c r="D167" s="3" t="inlineStr">
        <is>
          <t>피드백·면담 기한을 담은 일정 마스터가 없고 1on1·면담 합의 기록이 브라우저 80건 롤링이라 서버 보존 신설 필요 — 두 항목이 이 카드의 전제. 조직장(1차)의 팀원 면담 카드가 먼저 뜬다는 전제 아래 생성한다</t>
        </is>
      </c>
      <c r="E167" s="10" t="n"/>
    </row>
    <row r="168">
      <c r="B168" s="4" t="inlineStr">
        <is>
          <t>피드백-HR경영진-02</t>
        </is>
      </c>
      <c r="C168" s="4" t="inlineStr">
        <is>
          <t>피드백 · HR·경영진</t>
        </is>
      </c>
      <c r="D168" s="4" t="inlineStr">
        <is>
          <t>받은 피드백 기록 7건·상향 피드백 2건뿐이고 피드백 보냄·받음·열람 기록 자체가 없어 신설 필요. 1on1 기록도 브라우저 80건 롤링이라 서버 보존 필요. 조직장(1차)의 팀원 피드백 카드가 먼저 뜬다는 전제</t>
        </is>
      </c>
      <c r="E168" s="10" t="n"/>
    </row>
    <row r="169">
      <c r="B169" s="3" t="inlineStr">
        <is>
          <t>피드백-HR경영진-03</t>
        </is>
      </c>
      <c r="C169" s="3" t="inlineStr">
        <is>
          <t>피드백 · HR·경영진</t>
        </is>
      </c>
      <c r="D169" s="3" t="inlineStr">
        <is>
          <t>다면(피어) 리뷰 55건이 13명 한정이고 다면진단 제출 결과가 현 데모에서 어디에도 저장되지 않아 제출 여부 저장 위치 확인·신설 필요. 다면 리뷰 기간 일정도 없음</t>
        </is>
      </c>
      <c r="E169" s="10" t="n"/>
    </row>
    <row r="170">
      <c r="B170" s="4" t="inlineStr">
        <is>
          <t>피드백-HR경영진-04</t>
        </is>
      </c>
      <c r="C170" s="4" t="inlineStr">
        <is>
          <t>피드백 · HR·경영진</t>
        </is>
      </c>
      <c r="D170" s="4" t="inlineStr">
        <is>
          <t>등급은 평가 221건에 있으나 개발 코멘트는 다면 리뷰 55건(13명)에만 있고 면담 기록은 브라우저 80건 롤링이라 두 원천의 서버 보존과 연결 확인 필요. 개인 이름은 카드에 노출하지 않고 조직 단위 건수만 보여준다. 조직장(1차)이 팀원별 면담 카드를 먼저 받는다는 전제</t>
        </is>
      </c>
      <c r="E170" s="10" t="n"/>
    </row>
    <row r="172" ht="46" customHeight="1">
      <c r="B172" s="7" t="inlineStr">
        <is>
          <t>데이터가 아예 없어 신설이 필요한 항목 — ① 레코드 최종 수정 일시(목표·핵심결과·평가) ② 평가·목표 기간 일정 마스터(개시일·마감일) ③ 평가자 매핑(1차·2차)과 제출 시각 ④ 등급 조정·calibration 기록 ⑤ 알림 발송·열람·처리 로그 원장 ⑥ 1on1 합의 기록 보존 ⑦ 자기평가 제출 저장 ⑧ 피드백 전달·열람 기록. ①이 막히면 ② 유형(비어 있다·멈췄다) 신호군이, ②가 막히면 ① 유형(때가 됐다) 신호군이, ③이 막히면 조직장(2차) 신호군 전체가 무효가 된다.</t>
        </is>
      </c>
    </row>
  </sheetData>
  <mergeCells count="88">
    <mergeCell ref="D100:E100"/>
    <mergeCell ref="D155:E155"/>
    <mergeCell ref="D149:E149"/>
    <mergeCell ref="D158:E158"/>
    <mergeCell ref="D108:E108"/>
    <mergeCell ref="D151:E151"/>
    <mergeCell ref="D160:E160"/>
    <mergeCell ref="D141:E141"/>
    <mergeCell ref="D135:E135"/>
    <mergeCell ref="D150:E150"/>
    <mergeCell ref="D125:E125"/>
    <mergeCell ref="D134:E134"/>
    <mergeCell ref="D112:E112"/>
    <mergeCell ref="D127:E127"/>
    <mergeCell ref="B14:E14"/>
    <mergeCell ref="D114:E114"/>
    <mergeCell ref="D98:E98"/>
    <mergeCell ref="D164:E164"/>
    <mergeCell ref="D113:E113"/>
    <mergeCell ref="D148:E148"/>
    <mergeCell ref="C85:E85"/>
    <mergeCell ref="D115:E115"/>
    <mergeCell ref="D138:E138"/>
    <mergeCell ref="C84:E84"/>
    <mergeCell ref="B64:E64"/>
    <mergeCell ref="D99:E99"/>
    <mergeCell ref="D131:E131"/>
    <mergeCell ref="D140:E140"/>
    <mergeCell ref="D101:E101"/>
    <mergeCell ref="D124:E124"/>
    <mergeCell ref="D126:E126"/>
    <mergeCell ref="D166:E166"/>
    <mergeCell ref="D103:E103"/>
    <mergeCell ref="C87:E87"/>
    <mergeCell ref="D168:E168"/>
    <mergeCell ref="D165:E165"/>
    <mergeCell ref="D118:E118"/>
    <mergeCell ref="D152:E152"/>
    <mergeCell ref="D167:E167"/>
    <mergeCell ref="D161:E161"/>
    <mergeCell ref="C89:E89"/>
    <mergeCell ref="D142:E142"/>
    <mergeCell ref="C88:E88"/>
    <mergeCell ref="D129:E129"/>
    <mergeCell ref="D169:E169"/>
    <mergeCell ref="D144:E144"/>
    <mergeCell ref="D153:E153"/>
    <mergeCell ref="D128:E128"/>
    <mergeCell ref="B15:E15"/>
    <mergeCell ref="D96:E96"/>
    <mergeCell ref="D105:E105"/>
    <mergeCell ref="D139:E139"/>
    <mergeCell ref="D170:E170"/>
    <mergeCell ref="D120:E120"/>
    <mergeCell ref="D107:E107"/>
    <mergeCell ref="D163:E163"/>
    <mergeCell ref="D116:E116"/>
    <mergeCell ref="D162:E162"/>
    <mergeCell ref="D156:E156"/>
    <mergeCell ref="D106:E106"/>
    <mergeCell ref="D146:E146"/>
    <mergeCell ref="D102:E102"/>
    <mergeCell ref="B17:E17"/>
    <mergeCell ref="D117:E117"/>
    <mergeCell ref="D143:E143"/>
    <mergeCell ref="D157:E157"/>
    <mergeCell ref="D133:E133"/>
    <mergeCell ref="B172:E172"/>
    <mergeCell ref="D109:E109"/>
    <mergeCell ref="D119:E119"/>
    <mergeCell ref="D159:E159"/>
    <mergeCell ref="C90:E90"/>
    <mergeCell ref="D111:E111"/>
    <mergeCell ref="D95:E95"/>
    <mergeCell ref="D104:E104"/>
    <mergeCell ref="D136:E136"/>
    <mergeCell ref="D145:E145"/>
    <mergeCell ref="D154:E154"/>
    <mergeCell ref="D97:E97"/>
    <mergeCell ref="D147:E147"/>
    <mergeCell ref="D122:E122"/>
    <mergeCell ref="D137:E137"/>
    <mergeCell ref="C86:E86"/>
    <mergeCell ref="D121:E121"/>
    <mergeCell ref="D130:E130"/>
    <mergeCell ref="D123:E123"/>
    <mergeCell ref="D132:E132"/>
    <mergeCell ref="D110:E11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78"/>
  <sheetViews>
    <sheetView zoomScale="90" workbookViewId="0">
      <pane xSplit="1" ySplit="2" topLeftCell="B3" activePane="bottomRight" state="frozen"/>
      <selection pane="topRight"/>
      <selection pane="bottomLeft"/>
      <selection pane="bottomRight" activeCell="A1" sqref="A1"/>
    </sheetView>
  </sheetViews>
  <sheetFormatPr baseColWidth="8" defaultRowHeight="15"/>
  <cols>
    <col width="20" customWidth="1" min="1" max="1"/>
    <col width="11" customWidth="1" min="2" max="2"/>
    <col width="12" customWidth="1" min="3" max="3"/>
    <col width="17" customWidth="1" min="4" max="4"/>
    <col width="26" customWidth="1" min="5" max="5"/>
    <col width="34" customWidth="1" min="6" max="6"/>
    <col width="44" customWidth="1" min="7" max="7"/>
    <col width="12" customWidth="1" min="8" max="8"/>
    <col width="34" customWidth="1" min="9" max="9"/>
    <col width="34" customWidth="1" min="10" max="10"/>
    <col width="15" customWidth="1" min="11" max="11"/>
    <col width="26" customWidth="1" min="12" max="12"/>
    <col width="28" customWidth="1" min="13" max="13"/>
    <col width="6" customWidth="1" min="14" max="14"/>
    <col width="6" customWidth="1" min="15" max="15"/>
    <col width="6" customWidth="1" min="16" max="16"/>
    <col width="7" customWidth="1" min="17" max="17"/>
    <col width="12" customWidth="1" min="18" max="18"/>
    <col width="14" customWidth="1" min="19" max="19"/>
    <col width="22" customWidth="1" min="20" max="20"/>
    <col width="22" customWidth="1" min="21" max="21"/>
    <col width="40" customWidth="1" min="22" max="22"/>
  </cols>
  <sheetData>
    <row r="1" ht="20" customHeight="1">
      <c r="A1" s="2" t="inlineStr">
        <is>
          <t>[묶음 1] 어떤 알림인가 — 누구나 읽는 부분</t>
        </is>
      </c>
      <c r="G1" s="11" t="inlineStr">
        <is>
          <t>[묶음 2] 무엇을 보고 판단하나 — 개발자가 만드는 부분</t>
        </is>
      </c>
      <c r="J1" s="12" t="inlineStr">
        <is>
          <t>[묶음 3] 무엇을 하게 하나</t>
        </is>
      </c>
      <c r="N1" s="13" t="inlineStr">
        <is>
          <t>[묶음 4] 채택 여부와 알림 조절</t>
        </is>
      </c>
    </row>
    <row r="2" ht="32" customHeight="1">
      <c r="A2" s="2" t="inlineStr">
        <is>
          <t>알림 번호</t>
        </is>
      </c>
      <c r="B2" s="2" t="inlineStr">
        <is>
          <t>성과관리 단계</t>
        </is>
      </c>
      <c r="C2" s="2" t="inlineStr">
        <is>
          <t>주체</t>
        </is>
      </c>
      <c r="D2" s="2" t="inlineStr">
        <is>
          <t>변화의 종류</t>
        </is>
      </c>
      <c r="E2" s="2" t="inlineStr">
        <is>
          <t>화면에 뜨는 문장</t>
        </is>
      </c>
      <c r="F2" s="2" t="inlineStr">
        <is>
          <t>왜 지금 떴는지</t>
        </is>
      </c>
      <c r="G2" s="11" t="inlineStr">
        <is>
          <t>판단 조건</t>
        </is>
      </c>
      <c r="H2" s="11" t="inlineStr">
        <is>
          <t>비교 기준</t>
        </is>
      </c>
      <c r="I2" s="11" t="inlineStr">
        <is>
          <t>필요한 정보</t>
        </is>
      </c>
      <c r="J2" s="12" t="inlineStr">
        <is>
          <t>초안 재료</t>
        </is>
      </c>
      <c r="K2" s="12" t="inlineStr">
        <is>
          <t>행동</t>
        </is>
      </c>
      <c r="L2" s="12" t="inlineStr">
        <is>
          <t>사용자에게 물어보는 문장</t>
        </is>
      </c>
      <c r="M2" s="12" t="inlineStr">
        <is>
          <t>결과가 저장되는 곳</t>
        </is>
      </c>
      <c r="N2" s="13" t="inlineStr">
        <is>
          <t>도움</t>
        </is>
      </c>
      <c r="O2" s="13" t="inlineStr">
        <is>
          <t>빈도</t>
        </is>
      </c>
      <c r="P2" s="13" t="inlineStr">
        <is>
          <t>우리만</t>
        </is>
      </c>
      <c r="Q2" s="13" t="inlineStr">
        <is>
          <t>합계</t>
        </is>
      </c>
      <c r="R2" s="13" t="inlineStr">
        <is>
          <t>판정</t>
        </is>
      </c>
      <c r="S2" s="13" t="inlineStr">
        <is>
          <t>재알림 간격</t>
        </is>
      </c>
      <c r="T2" s="13" t="inlineStr">
        <is>
          <t>최소 건수</t>
        </is>
      </c>
      <c r="U2" s="13" t="inlineStr">
        <is>
          <t>언제 사라지나</t>
        </is>
      </c>
      <c r="V2" s="13" t="inlineStr">
        <is>
          <t>비고 · 확인 필요</t>
        </is>
      </c>
    </row>
    <row r="3" ht="58" customHeight="1">
      <c r="A3" s="3" t="inlineStr">
        <is>
          <t>목표수립-조직원-01</t>
        </is>
      </c>
      <c r="B3" s="17" t="inlineStr">
        <is>
          <t>목표수립</t>
        </is>
      </c>
      <c r="C3" s="17" t="inlineStr">
        <is>
          <t>조직원</t>
        </is>
      </c>
      <c r="D3" s="17" t="inlineStr">
        <is>
          <t>① 때가 됐다</t>
        </is>
      </c>
      <c r="E3" s="3" t="inlineStr">
        <is>
          <t>목표 제출 마감이 3일 남았어요</t>
        </is>
      </c>
      <c r="F3" s="3" t="inlineStr">
        <is>
          <t>목표 제출 기한 2026-08-15까지 3일 남음; 내 이름으로 저장된 목표 0건 (FY2026-2Q 기준)</t>
        </is>
      </c>
      <c r="G3" s="3" t="inlineStr">
        <is>
          <t>목표 작성 마감일까지 3일 이하로 남았고, 내 이름으로 저장된 목표가 1건도 없을 때</t>
        </is>
      </c>
      <c r="H3" s="17" t="inlineStr">
        <is>
          <t>제도 기준값</t>
        </is>
      </c>
      <c r="I3" s="3" t="inlineStr">
        <is>
          <t>목표 기간 일정의 마감일; 내 이름으로 저장된 목표 건수; 오늘 날짜</t>
        </is>
      </c>
      <c r="J3" s="3" t="inlineStr">
        <is>
          <t>내 직무프로파일의 과업 영역과 과업 목록; 소속 조직의 상위 목표; 내 지난 기간 목표 문장</t>
        </is>
      </c>
      <c r="K3" s="17" t="inlineStr">
        <is>
          <t>A1 쓰기</t>
        </is>
      </c>
      <c r="L3" s="3" t="inlineStr">
        <is>
          <t>목표 초안 3개를 만들어 볼까요?</t>
        </is>
      </c>
      <c r="M3" s="3" t="inlineStr">
        <is>
          <t>목표 기록 신규 생성 (핵심결과 포함)</t>
        </is>
      </c>
      <c r="N3" s="17" t="n">
        <v>3</v>
      </c>
      <c r="O3" s="17" t="n">
        <v>3</v>
      </c>
      <c r="P3" s="17" t="n">
        <v>1</v>
      </c>
      <c r="Q3" s="17">
        <f>N3+O3+P3</f>
        <v/>
      </c>
      <c r="R3" s="17" t="inlineStr">
        <is>
          <t>기초</t>
        </is>
      </c>
      <c r="S3" s="3" t="inlineStr">
        <is>
          <t>3일</t>
        </is>
      </c>
      <c r="T3" s="3" t="inlineStr">
        <is>
          <t>해당 없음</t>
        </is>
      </c>
      <c r="U3" s="3" t="inlineStr">
        <is>
          <t>목표를 1건이라도 저장하면 즉시</t>
        </is>
      </c>
      <c r="V3" s="3" t="inlineStr">
        <is>
          <t>평가·목표 기간 일정 마스터(개시일·마감일·리마인드 기준일)가 없어 현재는 목표의 기간 문자열(FY2026-2Q)에서 파생해야 함 — 일정 마스터 신설 확인 필요(T1 신호 전체의 전제)</t>
        </is>
      </c>
    </row>
    <row r="4" ht="58" customHeight="1">
      <c r="A4" s="3" t="inlineStr">
        <is>
          <t>목표수립-조직원-02</t>
        </is>
      </c>
      <c r="B4" s="17" t="inlineStr">
        <is>
          <t>목표수립</t>
        </is>
      </c>
      <c r="C4" s="17" t="inlineStr">
        <is>
          <t>조직원</t>
        </is>
      </c>
      <c r="D4" s="17" t="inlineStr">
        <is>
          <t>② 비어 있다 / 멈췄다</t>
        </is>
      </c>
      <c r="E4" s="3" t="inlineStr">
        <is>
          <t>목표만 있고 핵심결과가 비어 있어요</t>
        </is>
      </c>
      <c r="F4" s="3" t="inlineStr">
        <is>
          <t>목표 G-0142 저장 후 7일 경과; 연결된 핵심결과 0건 (같은 팀 목표 평균 3.7건)</t>
        </is>
      </c>
      <c r="G4" s="3" t="inlineStr">
        <is>
          <t>목표를 저장한 지 7일이 지났는데 그 목표에 달린 핵심결과가 1건도 없을 때</t>
        </is>
      </c>
      <c r="H4" s="17" t="inlineStr">
        <is>
          <t>팀 평균</t>
        </is>
      </c>
      <c r="I4" s="3" t="inlineStr">
        <is>
          <t>목표별 핵심결과 건수; 목표 저장일; 목표 기간의 남은 일수; 같은 팀 목표의 핵심결과 건수</t>
        </is>
      </c>
      <c r="J4" s="3" t="inlineStr">
        <is>
          <t>내 목표 문장; 내 직무프로파일의 과업 영역과 과업 목록; 같은 직무 동료의 핵심결과 표현</t>
        </is>
      </c>
      <c r="K4" s="17" t="inlineStr">
        <is>
          <t>A1 쓰기</t>
        </is>
      </c>
      <c r="L4" s="3" t="inlineStr">
        <is>
          <t>핵심결과 3개 초안을 채워 볼까요?</t>
        </is>
      </c>
      <c r="M4" s="3" t="inlineStr">
        <is>
          <t>핵심결과 기록 신규 생성 (목표에 연결)</t>
        </is>
      </c>
      <c r="N4" s="17" t="n">
        <v>3</v>
      </c>
      <c r="O4" s="17" t="n">
        <v>2</v>
      </c>
      <c r="P4" s="17" t="n">
        <v>2</v>
      </c>
      <c r="Q4" s="17">
        <f>N4+O4+P4</f>
        <v/>
      </c>
      <c r="R4" s="17" t="inlineStr">
        <is>
          <t>우리만 가능</t>
        </is>
      </c>
      <c r="S4" s="3" t="inlineStr">
        <is>
          <t>7일</t>
        </is>
      </c>
      <c r="T4" s="3" t="inlineStr">
        <is>
          <t>해당 없음</t>
        </is>
      </c>
      <c r="U4" s="3" t="inlineStr">
        <is>
          <t>핵심결과를 1건 저장하면 즉시</t>
        </is>
      </c>
      <c r="V4" s="3" t="inlineStr">
        <is>
          <t>목표의 저장일·최종 수정 일시(updated_at)가 어디에도 없어 '7일 경과' 판정 불가 — 확인 1순위. 핵심결과 146건·목표 40건은 실측 확인</t>
        </is>
      </c>
    </row>
    <row r="5" ht="58" customHeight="1">
      <c r="A5" s="3" t="inlineStr">
        <is>
          <t>목표수립-조직원-03</t>
        </is>
      </c>
      <c r="B5" s="17" t="inlineStr">
        <is>
          <t>목표수립</t>
        </is>
      </c>
      <c r="C5" s="17" t="inlineStr">
        <is>
          <t>조직원</t>
        </is>
      </c>
      <c r="D5" s="17" t="inlineStr">
        <is>
          <t>③ 기준을 벗어났다</t>
        </is>
      </c>
      <c r="E5" s="3" t="inlineStr">
        <is>
          <t>핵심결과 가중치 합이 100%가 아니에요</t>
        </is>
      </c>
      <c r="F5" s="3" t="inlineStr">
        <is>
          <t>목표 G-0142의 핵심결과 4건 가중치 합 85% (제도 기준 100%)</t>
        </is>
      </c>
      <c r="G5" s="3" t="inlineStr">
        <is>
          <t>한 목표에 달린 핵심결과들의 가중치를 더한 값이 100%에서 5%포인트 이상 벗어났을 때</t>
        </is>
      </c>
      <c r="H5" s="17" t="inlineStr">
        <is>
          <t>제도 기준값</t>
        </is>
      </c>
      <c r="I5" s="3" t="inlineStr">
        <is>
          <t>핵심결과별 가중치; 목표별 핵심결과 목록; 가중치 합계 제도 기준값</t>
        </is>
      </c>
      <c r="J5" s="3" t="inlineStr">
        <is>
          <t>핵심결과별 가중치와 난이도(A~C); 핵심결과별 목표값; 내가 지난 기간에 쓴 가중치 배분</t>
        </is>
      </c>
      <c r="K5" s="17" t="inlineStr">
        <is>
          <t>A2 고치기·맞추기</t>
        </is>
      </c>
      <c r="L5" s="3" t="inlineStr">
        <is>
          <t>가중치를 100%로 맞춰 볼까요?</t>
        </is>
      </c>
      <c r="M5" s="3" t="inlineStr">
        <is>
          <t>핵심결과 가중치 수정 + 수정 이력</t>
        </is>
      </c>
      <c r="N5" s="17" t="n">
        <v>2</v>
      </c>
      <c r="O5" s="17" t="n">
        <v>2</v>
      </c>
      <c r="P5" s="17" t="n">
        <v>2</v>
      </c>
      <c r="Q5" s="17">
        <f>N5+O5+P5</f>
        <v/>
      </c>
      <c r="R5" s="17" t="inlineStr">
        <is>
          <t>우리만 가능</t>
        </is>
      </c>
      <c r="S5" s="3" t="inlineStr">
        <is>
          <t>7일</t>
        </is>
      </c>
      <c r="T5" s="3" t="inlineStr">
        <is>
          <t>해당 없음</t>
        </is>
      </c>
      <c r="U5" s="3" t="inlineStr">
        <is>
          <t>가중치 합이 100%가 되면 즉시</t>
        </is>
      </c>
      <c r="V5" s="3" t="inlineStr">
        <is>
          <t>가중치 합 100% 규정이 제도로 정해져 있는지 확인 필요. 핵심결과 가중치 필드는 146건 실측 확인. 수정 이력 보관 위치는 없어 신설 확인 필요</t>
        </is>
      </c>
    </row>
    <row r="6" ht="58" customHeight="1">
      <c r="A6" s="3" t="inlineStr">
        <is>
          <t>목표수립-조직원-04</t>
        </is>
      </c>
      <c r="B6" s="17" t="inlineStr">
        <is>
          <t>목표수립</t>
        </is>
      </c>
      <c r="C6" s="17" t="inlineStr">
        <is>
          <t>조직원</t>
        </is>
      </c>
      <c r="D6" s="17" t="inlineStr">
        <is>
          <t>④ 서로 안 맞는다</t>
        </is>
      </c>
      <c r="E6" s="3" t="inlineStr">
        <is>
          <t>핵심결과가 내 직무 과업과 어긋나요</t>
        </is>
      </c>
      <c r="F6" s="3" t="inlineStr">
        <is>
          <t>핵심결과 3건 중 2건이 직무프로파일의 과업 영역에 연결 없음; 내 직무에서 가중치 1위 역량 D2에 걸린 핵심결과 0건 (직무프로파일 기준)</t>
        </is>
      </c>
      <c r="G6" s="3" t="inlineStr">
        <is>
          <t>내 핵심결과 중 직무 과업에 연결되지 않은 것이 50%를 넘거나, 직무에서 가중치가 가장 높은 역량에 걸린 핵심결과가 1건도 없을 때</t>
        </is>
      </c>
      <c r="H6" s="17" t="inlineStr">
        <is>
          <t>제도 기준값</t>
        </is>
      </c>
      <c r="I6" s="3" t="inlineStr">
        <is>
          <t>핵심결과의 직무 과업 참조; 핵심결과의 역량 연결(D1~D5); 내 직무프로파일의 과업 체계와 역량별 가중치</t>
        </is>
      </c>
      <c r="J6" s="3" t="inlineStr">
        <is>
          <t>직무 미션과 과업 영역별 과업 목록; 가중치 높은 역량의 설명; 내 현재 핵심결과 문장; 같은 직무 동료의 핵심결과 표현</t>
        </is>
      </c>
      <c r="K6" s="17" t="inlineStr">
        <is>
          <t>A2 고치기·맞추기</t>
        </is>
      </c>
      <c r="L6" s="3" t="inlineStr">
        <is>
          <t>빠진 과업 쪽으로 핵심결과를 손볼까요?</t>
        </is>
      </c>
      <c r="M6" s="3" t="inlineStr">
        <is>
          <t>핵심결과 내용·직무 과업 연결 수정 + 수정 이력</t>
        </is>
      </c>
      <c r="N6" s="17" t="n">
        <v>3</v>
      </c>
      <c r="O6" s="17" t="n">
        <v>2</v>
      </c>
      <c r="P6" s="17" t="n">
        <v>3</v>
      </c>
      <c r="Q6" s="17">
        <f>N6+O6+P6</f>
        <v/>
      </c>
      <c r="R6" s="17" t="inlineStr">
        <is>
          <t>우리만 가능</t>
        </is>
      </c>
      <c r="S6" s="3" t="inlineStr">
        <is>
          <t>7일</t>
        </is>
      </c>
      <c r="T6" s="3" t="inlineStr">
        <is>
          <t>해당 없음</t>
        </is>
      </c>
      <c r="U6" s="3" t="inlineStr">
        <is>
          <t>핵심결과가 모두 과업에 연결되면 즉시</t>
        </is>
      </c>
      <c r="V6" s="3" t="inlineStr">
        <is>
          <t>핵심결과의 직무 과업 참조 100%·역량 연결 D1~D5·직무프로파일 98종의 역량 가중치는 실측 확인. 목표의 직무 참조는 80%여서 빠진 20%는 판정 보류. 상위 목표 미연계(목표 연결률 95%, 미연계 5%)를 같은 조건에 넣을지 확인 필요</t>
        </is>
      </c>
    </row>
    <row r="7" ht="58" customHeight="1">
      <c r="A7" s="3" t="inlineStr">
        <is>
          <t>목표수립-조직원-05</t>
        </is>
      </c>
      <c r="B7" s="17" t="inlineStr">
        <is>
          <t>목표수립</t>
        </is>
      </c>
      <c r="C7" s="17" t="inlineStr">
        <is>
          <t>조직원</t>
        </is>
      </c>
      <c r="D7" s="17" t="inlineStr">
        <is>
          <t>⑤ 무슨 일이 생겼다</t>
        </is>
      </c>
      <c r="E7" s="3" t="inlineStr">
        <is>
          <t>직무가 바뀌어 목표가 안 맞아요</t>
        </is>
      </c>
      <c r="F7" s="3" t="inlineStr">
        <is>
          <t>2026-07-01 발령으로 직무 변경(영업기획→사업개발); 진행 중 목표 2건이 이전 직무의 과업을 그대로 참조 중</t>
        </is>
      </c>
      <c r="G7" s="3" t="inlineStr">
        <is>
          <t>발령 기록에서 직무가 바뀐 날 이후 30일 안에, 이전 직무의 과업을 참조한 목표가 1건 이상 남아 있을 때</t>
        </is>
      </c>
      <c r="H7" s="17" t="inlineStr">
        <is>
          <t>없음</t>
        </is>
      </c>
      <c r="I7" s="3" t="inlineStr">
        <is>
          <t>발령·직무이동 이력의 변경일과 이전·이후 직무; 진행 중 목표·핵심결과의 직무 과업 참조; 목표 기간의 남은 일수</t>
        </is>
      </c>
      <c r="J7" s="3" t="inlineStr">
        <is>
          <t>새 직무프로파일의 미션·과업 목록·요구 역량; 현재 목표와 핵심결과 문장; 새 소속 조직의 상위 목표</t>
        </is>
      </c>
      <c r="K7" s="17" t="inlineStr">
        <is>
          <t>A2 고치기·맞추기</t>
        </is>
      </c>
      <c r="L7" s="3" t="inlineStr">
        <is>
          <t>새 직무에 맞게 목표를 고쳐 볼까요?</t>
        </is>
      </c>
      <c r="M7" s="3" t="inlineStr">
        <is>
          <t>목표·핵심결과 수정 + 수정 이력 (직무 변경 사유 함께 기록)</t>
        </is>
      </c>
      <c r="N7" s="17" t="n">
        <v>3</v>
      </c>
      <c r="O7" s="17" t="n">
        <v>1</v>
      </c>
      <c r="P7" s="17" t="n">
        <v>3</v>
      </c>
      <c r="Q7" s="17">
        <f>N7+O7+P7</f>
        <v/>
      </c>
      <c r="R7" s="17" t="inlineStr">
        <is>
          <t>우리만 가능</t>
        </is>
      </c>
      <c r="S7" s="3" t="inlineStr">
        <is>
          <t>재알림 없음(1회)</t>
        </is>
      </c>
      <c r="T7" s="3" t="inlineStr">
        <is>
          <t>해당 없음</t>
        </is>
      </c>
      <c r="U7" s="3" t="inlineStr">
        <is>
          <t>목표를 저장하거나 '그대로 두기'로 표시하면 즉시</t>
        </is>
      </c>
      <c r="V7" s="3" t="inlineStr">
        <is>
          <t>발령·직무이동 이력 채움률 0.5%(221명 중 1명) — 휴넬/JaDE 발령 원천 연동이 이 신호의 전제(T5 간판). 같은 원인으로 조직장(1차)에게도 뜰 수 있어, 조직원이 먼저 보고 7일 안에 처리하지 않을 때만 상위로 올리도록 순서 지정 필요</t>
        </is>
      </c>
    </row>
    <row r="8" ht="58" customHeight="1">
      <c r="A8" s="3" t="inlineStr">
        <is>
          <t>목표수립-조직장1차-01</t>
        </is>
      </c>
      <c r="B8" s="17" t="inlineStr">
        <is>
          <t>목표수립</t>
        </is>
      </c>
      <c r="C8" s="17" t="inlineStr">
        <is>
          <t>조직장(1차)</t>
        </is>
      </c>
      <c r="D8" s="17" t="inlineStr">
        <is>
          <t>① 때가 됐다</t>
        </is>
      </c>
      <c r="E8" s="3" t="inlineStr">
        <is>
          <t>팀원 목표 마감이 사흘 남았어요</t>
        </is>
      </c>
      <c r="F8" s="3" t="inlineStr">
        <is>
          <t>목표수립 마감 3일 전(2026-07-31 마감), 이 팀원이 등록한 목표 0건 (제도 기준 1인 1건 이상)</t>
        </is>
      </c>
      <c r="G8" s="3" t="inlineStr">
        <is>
          <t>목표수립 마감일까지 3일 이하로 남았고, 그 팀원이 등록한 목표가 0건일 때</t>
        </is>
      </c>
      <c r="H8" s="17" t="inlineStr">
        <is>
          <t>제도 기준값</t>
        </is>
      </c>
      <c r="I8" s="3" t="inlineStr">
        <is>
          <t>목표수립 기간의 마감일; 팀원별 등록 목표 건수; 상위자 사번으로 만든 직속 팀원 명단</t>
        </is>
      </c>
      <c r="J8" s="3" t="inlineStr">
        <is>
          <t>팀 목표와 핵심결과 문장; 그 팀원의 직무프로파일 과업 목록; 그 팀원이 지난 기간에 쓴 목표 문장</t>
        </is>
      </c>
      <c r="K8" s="17" t="inlineStr">
        <is>
          <t>A3 보내기</t>
        </is>
      </c>
      <c r="L8" s="3" t="inlineStr">
        <is>
          <t>목표 작성을 부탁하는 메시지를 보낼까요?</t>
        </is>
      </c>
      <c r="M8" s="3" t="inlineStr">
        <is>
          <t>메시지 기록 + 보냄·받음 기록 생성 (알림·메시지 발송·열람 원장 저장 위치 신설 필요)</t>
        </is>
      </c>
      <c r="N8" s="17" t="n">
        <v>3</v>
      </c>
      <c r="O8" s="17" t="n">
        <v>3</v>
      </c>
      <c r="P8" s="17" t="n">
        <v>1</v>
      </c>
      <c r="Q8" s="17">
        <f>N8+O8+P8</f>
        <v/>
      </c>
      <c r="R8" s="17" t="inlineStr">
        <is>
          <t>기초</t>
        </is>
      </c>
      <c r="S8" s="3" t="inlineStr">
        <is>
          <t>3일</t>
        </is>
      </c>
      <c r="T8" s="3" t="inlineStr">
        <is>
          <t>해당 없음</t>
        </is>
      </c>
      <c r="U8" s="3" t="inlineStr">
        <is>
          <t>그 팀원이 목표를 1건 저장하면 즉시</t>
        </is>
      </c>
      <c r="V8" s="3" t="inlineStr">
        <is>
          <t>목표·평가 기간 일정 마스터가 없어 마감일을 목표의 기간 문자열에서 파생 중 — 일정 마스터 신설 확인 필요. 메시지 보냄·받음 원장도 서버 보존 신설 필요. 같은 원인 카드가 조직원에게 먼저 뜨므로 1차 카드는 마감 3일 전부터만 만든다</t>
        </is>
      </c>
    </row>
    <row r="9" ht="58" customHeight="1">
      <c r="A9" s="3" t="inlineStr">
        <is>
          <t>목표수립-조직장1차-02</t>
        </is>
      </c>
      <c r="B9" s="17" t="inlineStr">
        <is>
          <t>목표수립</t>
        </is>
      </c>
      <c r="C9" s="17" t="inlineStr">
        <is>
          <t>조직장(1차)</t>
        </is>
      </c>
      <c r="D9" s="17" t="inlineStr">
        <is>
          <t>② 비어 있다 / 멈췄다</t>
        </is>
      </c>
      <c r="E9" s="3" t="inlineStr">
        <is>
          <t>팀원 목표에 핵심결과가 비어 있어요</t>
        </is>
      </c>
      <c r="F9" s="3" t="inlineStr">
        <is>
          <t>목표수립 개시 후 10일 경과, 이 팀원 목표 2건 모두 핵심결과 0건 (팀 평균 목표당 3.7건)</t>
        </is>
      </c>
      <c r="G9" s="3" t="inlineStr">
        <is>
          <t>목표수립 기간이 시작된 뒤 7일이 지났는데, 그 팀원이 만든 목표에 핵심결과가 0건일 때</t>
        </is>
      </c>
      <c r="H9" s="17" t="inlineStr">
        <is>
          <t>팀 평균</t>
        </is>
      </c>
      <c r="I9" s="3" t="inlineStr">
        <is>
          <t>목표수립 기간의 개시일; 그 팀원 목표별 핵심결과 건수; 같은 팀 목표의 목표당 핵심결과 평균 건수</t>
        </is>
      </c>
      <c r="J9" s="3" t="inlineStr">
        <is>
          <t>그 팀원 목표 문장; 연결된 팀 목표의 핵심결과와 목표값; 그 팀원 직무프로파일의 과업체계와 요구스킬</t>
        </is>
      </c>
      <c r="K9" s="17" t="inlineStr">
        <is>
          <t>A3 보내기</t>
        </is>
      </c>
      <c r="L9" s="3" t="inlineStr">
        <is>
          <t>핵심결과 후보를 담아 보내 드릴까요?</t>
        </is>
      </c>
      <c r="M9" s="3" t="inlineStr">
        <is>
          <t>메시지 기록 + 해당 목표에 남는 검토 코멘트 (목표별 검토 코멘트 저장 위치 신설 필요)</t>
        </is>
      </c>
      <c r="N9" s="17" t="n">
        <v>3</v>
      </c>
      <c r="O9" s="17" t="n">
        <v>2</v>
      </c>
      <c r="P9" s="17" t="n">
        <v>2</v>
      </c>
      <c r="Q9" s="17">
        <f>N9+O9+P9</f>
        <v/>
      </c>
      <c r="R9" s="17" t="inlineStr">
        <is>
          <t>우리만 가능</t>
        </is>
      </c>
      <c r="S9" s="3" t="inlineStr">
        <is>
          <t>7일</t>
        </is>
      </c>
      <c r="T9" s="3" t="inlineStr">
        <is>
          <t>해당 없음</t>
        </is>
      </c>
      <c r="U9" s="3" t="inlineStr">
        <is>
          <t>그 목표에 핵심결과가 1건 이상 저장되면 즉시</t>
        </is>
      </c>
      <c r="V9" s="3" t="inlineStr">
        <is>
          <t>핵심결과 건수는 실측 확인됨(146건). 목표 레코드에 최종 수정 일시가 없어 기간 개시일 기준으로만 판정 가능 — 일정 마스터와 수정 일시 확인 필요. 조직원에게 같은 원인 카드가 먼저 뜨며 7일 내 미처리일 때만 1차에 만든다</t>
        </is>
      </c>
    </row>
    <row r="10" ht="58" customHeight="1">
      <c r="A10" s="3" t="inlineStr">
        <is>
          <t>목표수립-조직장1차-03</t>
        </is>
      </c>
      <c r="B10" s="17" t="inlineStr">
        <is>
          <t>목표수립</t>
        </is>
      </c>
      <c r="C10" s="17" t="inlineStr">
        <is>
          <t>조직장(1차)</t>
        </is>
      </c>
      <c r="D10" s="17" t="inlineStr">
        <is>
          <t>③ 기준을 벗어났다</t>
        </is>
      </c>
      <c r="E10" s="3" t="inlineStr">
        <is>
          <t>팀원 핵심결과 난이도가 낮게 몰렸어요</t>
        </is>
      </c>
      <c r="F10" s="3" t="inlineStr">
        <is>
          <t>이 팀원 핵심결과 6건 중 5건이 난이도 C (같은 팀 난이도 C 비중 38%)</t>
        </is>
      </c>
      <c r="G10" s="3" t="inlineStr">
        <is>
          <t>-</t>
        </is>
      </c>
      <c r="H10" s="17" t="inlineStr">
        <is>
          <t>-</t>
        </is>
      </c>
      <c r="I10" s="3" t="inlineStr">
        <is>
          <t>-</t>
        </is>
      </c>
      <c r="J10" s="3" t="inlineStr">
        <is>
          <t>-</t>
        </is>
      </c>
      <c r="K10" s="17" t="inlineStr">
        <is>
          <t>-</t>
        </is>
      </c>
      <c r="L10" s="3" t="inlineStr">
        <is>
          <t>-</t>
        </is>
      </c>
      <c r="M10" s="3" t="inlineStr">
        <is>
          <t>-</t>
        </is>
      </c>
      <c r="N10" s="17" t="n">
        <v>2</v>
      </c>
      <c r="O10" s="17" t="n">
        <v>1</v>
      </c>
      <c r="P10" s="17" t="n">
        <v>2</v>
      </c>
      <c r="Q10" s="17">
        <f>N10+O10+P10</f>
        <v/>
      </c>
      <c r="R10" s="17" t="inlineStr">
        <is>
          <t>제외</t>
        </is>
      </c>
      <c r="S10" s="3" t="inlineStr">
        <is>
          <t>-</t>
        </is>
      </c>
      <c r="T10" s="3" t="inlineStr">
        <is>
          <t>-</t>
        </is>
      </c>
      <c r="U10" s="3" t="inlineStr">
        <is>
          <t>-</t>
        </is>
      </c>
      <c r="V10" s="3" t="inlineStr">
        <is>
          <t>난이도(A~C)와 난이도 근거는 실측 있으나, 난이도가 낮게 몰린 것이 곧 고쳐야 할 상태라고 볼 기준이 제도에 없어 제외. 난이도 근거(98.6%)를 쓰는 판정 규칙이 정해지면 다시 검토</t>
        </is>
      </c>
    </row>
    <row r="11" ht="58" customHeight="1">
      <c r="A11" s="3" t="inlineStr">
        <is>
          <t>목표수립-조직장1차-04</t>
        </is>
      </c>
      <c r="B11" s="17" t="inlineStr">
        <is>
          <t>목표수립</t>
        </is>
      </c>
      <c r="C11" s="17" t="inlineStr">
        <is>
          <t>조직장(1차)</t>
        </is>
      </c>
      <c r="D11" s="17" t="inlineStr">
        <is>
          <t>④ 서로 안 맞는다</t>
        </is>
      </c>
      <c r="E11" s="3" t="inlineStr">
        <is>
          <t>팀원 목표가 팀 방향과 어긋나 있어요</t>
        </is>
      </c>
      <c r="F11" s="3" t="inlineStr">
        <is>
          <t>이 팀원 목표 2건 중 1건이 팀 목표에 연결 없음 (팀 목표 3건 등록, 전사 상위목표 연결률 95%)</t>
        </is>
      </c>
      <c r="G11" s="3" t="inlineStr">
        <is>
          <t>그 팀원 목표 중 팀 목표에 연결되지 않았거나 다른 조직 목표에 연결된 것이 1건 이상일 때</t>
        </is>
      </c>
      <c r="H11" s="17" t="inlineStr">
        <is>
          <t>제도 기준값</t>
        </is>
      </c>
      <c r="I11" s="3" t="inlineStr">
        <is>
          <t>목표의 상위목표 연결; 목표 소유자의 소속조직; 우리 팀 목표 목록; 목표의 전략과제 연결</t>
        </is>
      </c>
      <c r="J11" s="3" t="inlineStr">
        <is>
          <t>그 팀원 목표와 핵심결과 문장; 연결 후보가 되는 우리 팀 목표 3건; 그 팀원 직무프로파일의 과업체계</t>
        </is>
      </c>
      <c r="K11" s="17" t="inlineStr">
        <is>
          <t>A2 고치기·맞추기</t>
        </is>
      </c>
      <c r="L11" s="3" t="inlineStr">
        <is>
          <t>이 팀 목표로 연결을 바꿀까요?</t>
        </is>
      </c>
      <c r="M11" s="3" t="inlineStr">
        <is>
          <t>해당 목표의 상위목표 연결 수정 + 수정 이력 기록 (목표 수정 이력 저장 위치 신설 필요)</t>
        </is>
      </c>
      <c r="N11" s="17" t="n">
        <v>3</v>
      </c>
      <c r="O11" s="17" t="n">
        <v>2</v>
      </c>
      <c r="P11" s="17" t="n">
        <v>3</v>
      </c>
      <c r="Q11" s="17">
        <f>N11+O11+P11</f>
        <v/>
      </c>
      <c r="R11" s="17" t="inlineStr">
        <is>
          <t>우리만 가능</t>
        </is>
      </c>
      <c r="S11" s="3" t="inlineStr">
        <is>
          <t>7일</t>
        </is>
      </c>
      <c r="T11" s="3" t="inlineStr">
        <is>
          <t>해당 없음</t>
        </is>
      </c>
      <c r="U11" s="3" t="inlineStr">
        <is>
          <t>상위목표 연결이 저장되면 즉시</t>
        </is>
      </c>
      <c r="V11" s="3" t="inlineStr">
        <is>
          <t>상위목표 연결 95%·전략과제 연결 100% 실측 확인됨. 조직장이 팀원 목표의 연결을 직접 고칠 권한이 있는지 확인 필요 — 권한이 없으면 A3 보내기로 바꾼다. 목표 수정 이력 저장 위치 없음</t>
        </is>
      </c>
    </row>
    <row r="12" ht="58" customHeight="1">
      <c r="A12" s="3" t="inlineStr">
        <is>
          <t>목표수립-조직장1차-05</t>
        </is>
      </c>
      <c r="B12" s="17" t="inlineStr">
        <is>
          <t>목표수립</t>
        </is>
      </c>
      <c r="C12" s="17" t="inlineStr">
        <is>
          <t>조직장(1차)</t>
        </is>
      </c>
      <c r="D12" s="17" t="inlineStr">
        <is>
          <t>⑤ 무슨 일이 생겼다</t>
        </is>
      </c>
      <c r="E12" s="3" t="inlineStr">
        <is>
          <t>발령 온 팀원 목표를 다시 볼 때예요</t>
        </is>
      </c>
      <c r="F12" s="3" t="inlineStr">
        <is>
          <t>이 팀원 소속조직 변경 7일 경과(발령일 2026-07-01), 목표 3건 모두 이전 조직 목표에 연결됨</t>
        </is>
      </c>
      <c r="G12" s="3" t="inlineStr">
        <is>
          <t>그 팀원의 소속조직이 바뀐 뒤 7일이 지났고, 이전 조직 목표에 연결된 목표가 1건 이상 남아 있을 때</t>
        </is>
      </c>
      <c r="H12" s="17" t="inlineStr">
        <is>
          <t>없음</t>
        </is>
      </c>
      <c r="I12" s="3" t="inlineStr">
        <is>
          <t>발령·소속조직 변경 이력과 변경일; 그 팀원 목표의 상위목표와 그 상위목표의 소속조직; 바뀐 직무프로파일</t>
        </is>
      </c>
      <c r="J12" s="3" t="inlineStr">
        <is>
          <t>새 직무프로파일의 과업체계와 요구스킬; 우리 팀 목표와 핵심결과; 남은 목표 기간; 이전 조직에서 쓴 목표 문장</t>
        </is>
      </c>
      <c r="K12" s="17" t="inlineStr">
        <is>
          <t>A4 대화 잡기</t>
        </is>
      </c>
      <c r="L12" s="3" t="inlineStr">
        <is>
          <t>목표 재설정 대화를 잡을까요?</t>
        </is>
      </c>
      <c r="M12" s="3" t="inlineStr">
        <is>
          <t>일정 생성 + 이야기할 항목 기록(그대로 가져올 목표·새로 만들 목표·남은 기간에 맞춘 목표값) (1on1 기록 서버 보존 신설 필요)</t>
        </is>
      </c>
      <c r="N12" s="17" t="n">
        <v>3</v>
      </c>
      <c r="O12" s="17" t="n">
        <v>1</v>
      </c>
      <c r="P12" s="17" t="n">
        <v>3</v>
      </c>
      <c r="Q12" s="17">
        <f>N12+O12+P12</f>
        <v/>
      </c>
      <c r="R12" s="17" t="inlineStr">
        <is>
          <t>우리만 가능</t>
        </is>
      </c>
      <c r="S12" s="3" t="inlineStr">
        <is>
          <t>재알림 없음(1회)</t>
        </is>
      </c>
      <c r="T12" s="3" t="inlineStr">
        <is>
          <t>해당 없음</t>
        </is>
      </c>
      <c r="U12" s="3" t="inlineStr">
        <is>
          <t>목표 재설정 대화 일정이 저장되면 즉시</t>
        </is>
      </c>
      <c r="V12" s="3" t="inlineStr">
        <is>
          <t>발령·직무이동 이력 채움률 0.5%(221명 중 1명) — 휴넬·JaDE 발령 원천 연동이 이 신호의 전제. 1on1 기록은 브라우저 80건 롤링뿐이어서 서버 보존 신설 필요</t>
        </is>
      </c>
    </row>
    <row r="13" ht="58" customHeight="1">
      <c r="A13" s="3" t="inlineStr">
        <is>
          <t>목표수립-조직장2차-01</t>
        </is>
      </c>
      <c r="B13" s="17" t="inlineStr">
        <is>
          <t>목표수립</t>
        </is>
      </c>
      <c r="C13" s="17" t="inlineStr">
        <is>
          <t>조직장(2차)</t>
        </is>
      </c>
      <c r="D13" s="17" t="inlineStr">
        <is>
          <t>① 때가 됐다</t>
        </is>
      </c>
      <c r="E13" s="3" t="inlineStr">
        <is>
          <t>하위 3개 팀이 목표를 아직 안 세웠어요</t>
        </is>
      </c>
      <c r="F13" s="3" t="inlineStr">
        <is>
          <t>목표 수립 마감 3일 전, 하위 8개 팀 중 3개 팀 수립률 30% 미만 (내 조직 평균 62%)</t>
        </is>
      </c>
      <c r="G13" s="3" t="inlineStr">
        <is>
          <t>목표 수립 마감일이 3일 이내로 남았고, 하위 팀 중 목표 수립률이 30% 미만인 팀이 1개 이상일 때</t>
        </is>
      </c>
      <c r="H13" s="17" t="inlineStr">
        <is>
          <t>제도 기준값</t>
        </is>
      </c>
      <c r="I13" s="3" t="inlineStr">
        <is>
          <t>목표 수립 기간의 마감일; 하위 팀별 구성원 수; 하위 팀별 목표 생성 건수; 내 조직 전체 수립률</t>
        </is>
      </c>
      <c r="J13" s="3" t="inlineStr">
        <is>
          <t>팀별 수립률 표; 마감일까지 남은 일수; 지난 분기 같은 시점의 팀별 수립률; 메시지를 받을 1차 평가자 명단</t>
        </is>
      </c>
      <c r="K13" s="17" t="inlineStr">
        <is>
          <t>A3 보내기</t>
        </is>
      </c>
      <c r="L13" s="3" t="inlineStr">
        <is>
          <t>수립이 늦은 3개 팀장에게 마감 안내를 보낼까요?</t>
        </is>
      </c>
      <c r="M13" s="3" t="inlineStr">
        <is>
          <t>메시지 기록 + 보냄·받음 기록 (알림 원장에 발송 결과 저장 — 서버 원장 신설 필요)</t>
        </is>
      </c>
      <c r="N13" s="17" t="n">
        <v>3</v>
      </c>
      <c r="O13" s="17" t="n">
        <v>3</v>
      </c>
      <c r="P13" s="17" t="n">
        <v>1</v>
      </c>
      <c r="Q13" s="17">
        <f>N13+O13+P13</f>
        <v/>
      </c>
      <c r="R13" s="17" t="inlineStr">
        <is>
          <t>기초</t>
        </is>
      </c>
      <c r="S13" s="3" t="inlineStr">
        <is>
          <t>3일</t>
        </is>
      </c>
      <c r="T13" s="3" t="inlineStr">
        <is>
          <t>3건 이상 또는 팀의 30% 이상</t>
        </is>
      </c>
      <c r="U13" s="3" t="inlineStr">
        <is>
          <t>해당 팀 수립률이 70% 이상이 되면 즉시</t>
        </is>
      </c>
      <c r="V13" s="3" t="inlineStr">
        <is>
          <t>목표 기간 일정 마스터(개시일·마감일)가 없어 현재는 목표의 기간 문자열에서 파생 — 신설 필요. 억제: 같은 원인으로 각 1차 평가자에게 팀원별 미수립 알림이 먼저 뜬 뒤에만 이 팀 합계 카드를 만든다(1차 선행). 개별 팀원 미수립 건은 2차에 올리지 않는다</t>
        </is>
      </c>
    </row>
    <row r="14" ht="58" customHeight="1">
      <c r="A14" s="3" t="inlineStr">
        <is>
          <t>목표수립-조직장2차-02</t>
        </is>
      </c>
      <c r="B14" s="17" t="inlineStr">
        <is>
          <t>목표수립</t>
        </is>
      </c>
      <c r="C14" s="17" t="inlineStr">
        <is>
          <t>조직장(2차)</t>
        </is>
      </c>
      <c r="D14" s="17" t="inlineStr">
        <is>
          <t>② 비어 있다 / 멈췄다</t>
        </is>
      </c>
      <c r="E14" s="3" t="inlineStr">
        <is>
          <t>B팀장이 팀원 목표를 아직 안 봤어요</t>
        </is>
      </c>
      <c r="F14" s="3" t="inlineStr">
        <is>
          <t>B팀 팀원 목표 9건 중 7건이 14일 넘게 검토 대기 (내 조직 평균 대기 3일)</t>
        </is>
      </c>
      <c r="G14" s="3" t="inlineStr">
        <is>
          <t>한 팀의 팀원 목표 중 1차 평가자가 확정하지 않은 것이 14일 이상 남아 있고, 그 비율이 팀의 30%를 넘을 때</t>
        </is>
      </c>
      <c r="H14" s="17" t="inlineStr">
        <is>
          <t>팀 평균</t>
        </is>
      </c>
      <c r="I14" s="3" t="inlineStr">
        <is>
          <t>팀원 목표의 상태값; 목표 생성일; 1차 평가자의 목표 확정 기록과 확정 시각; 하위 팀별 평균 검토 대기 일수</t>
        </is>
      </c>
      <c r="J14" s="3" t="inlineStr">
        <is>
          <t>팀별 미검토 건수와 대기 일수; 해당 팀장의 지난 분기 검토 소요일; 검토가 밀린 목표 제목 묶음; 요청 문구에 넣을 사실 묶음</t>
        </is>
      </c>
      <c r="K14" s="17" t="inlineStr">
        <is>
          <t>A6 요청하기</t>
        </is>
      </c>
      <c r="L14" s="3" t="inlineStr">
        <is>
          <t>B팀장에게 목표 검토를 마쳐 달라고 요청할까요?</t>
        </is>
      </c>
      <c r="M14" s="3" t="inlineStr">
        <is>
          <t>요청 기록 + 승인 흐름 (목표 검토 요청 이력 저장 위치 신설 필요)</t>
        </is>
      </c>
      <c r="N14" s="17" t="n">
        <v>3</v>
      </c>
      <c r="O14" s="17" t="n">
        <v>3</v>
      </c>
      <c r="P14" s="17" t="n">
        <v>2</v>
      </c>
      <c r="Q14" s="17">
        <f>N14+O14+P14</f>
        <v/>
      </c>
      <c r="R14" s="17" t="inlineStr">
        <is>
          <t>우리만 가능</t>
        </is>
      </c>
      <c r="S14" s="3" t="inlineStr">
        <is>
          <t>14일</t>
        </is>
      </c>
      <c r="T14" s="3" t="inlineStr">
        <is>
          <t>3건 이상 또는 팀의 30% 이상</t>
        </is>
      </c>
      <c r="U14" s="3" t="inlineStr">
        <is>
          <t>해당 팀의 미검토 비율이 30% 밑으로 내려가면 즉시</t>
        </is>
      </c>
      <c r="V14" s="3" t="inlineStr">
        <is>
          <t>목표 확정(승인) 기록과 시각이 현재 없음 — 신설 필요. 1차 평가자 매핑 필드 확인/신설 필요. 관측 대상은 팀원이 아니라 1차 평가자의 검토 행위. 억제: 팀원 개인의 목표 미작성 건은 1차에게만 뜨고, 2차에는 평가자 단위 합계로만 올린다</t>
        </is>
      </c>
    </row>
    <row r="15" ht="58" customHeight="1">
      <c r="A15" s="3" t="inlineStr">
        <is>
          <t>목표수립-조직장2차-03</t>
        </is>
      </c>
      <c r="B15" s="17" t="inlineStr">
        <is>
          <t>목표수립</t>
        </is>
      </c>
      <c r="C15" s="17" t="inlineStr">
        <is>
          <t>조직장(2차)</t>
        </is>
      </c>
      <c r="D15" s="17" t="inlineStr">
        <is>
          <t>③ 기준을 벗어났다</t>
        </is>
      </c>
      <c r="E15" s="3" t="inlineStr">
        <is>
          <t>C팀 핵심결과가 쉬운 난이도에 몰렸어요</t>
        </is>
      </c>
      <c r="F15" s="3" t="inlineStr">
        <is>
          <t>C팀 핵심결과 18건 중 14건이 난이도 C (내 조직 평균 난이도 C 비중 38%)</t>
        </is>
      </c>
      <c r="G15" s="3" t="inlineStr">
        <is>
          <t>한 팀의 핵심결과 중 가장 낮은 난이도의 비중이 70%를 넘고, 내 조직 평균보다 25%p 이상 높을 때</t>
        </is>
      </c>
      <c r="H15" s="17" t="inlineStr">
        <is>
          <t>팀 평균</t>
        </is>
      </c>
      <c r="I15" s="3" t="inlineStr">
        <is>
          <t>하위 팀별 핵심결과 난이도(A~C) 분포; 난이도 근거 문장; 내 조직 전체 난이도 분포; 팀별 핵심결과 건수</t>
        </is>
      </c>
      <c r="J15" s="3" t="inlineStr">
        <is>
          <t>팀별 난이도 분포 비교표; 난이도 근거 문장 요약; 해당 팀의 지난 분기 난이도 분포; 내 조직 목표의 도전 수준</t>
        </is>
      </c>
      <c r="K15" s="17" t="inlineStr">
        <is>
          <t>A4 대화 잡기</t>
        </is>
      </c>
      <c r="L15" s="3" t="inlineStr">
        <is>
          <t>C팀장과 목표 난이도 검토 회의를 잡을까요?</t>
        </is>
      </c>
      <c r="M15" s="3" t="inlineStr">
        <is>
          <t>일정 + 이야기할 항목 기록 (목표 검토 회의 기록 — 서버 보존 신설 필요)</t>
        </is>
      </c>
      <c r="N15" s="17" t="n">
        <v>2</v>
      </c>
      <c r="O15" s="17" t="n">
        <v>2</v>
      </c>
      <c r="P15" s="17" t="n">
        <v>3</v>
      </c>
      <c r="Q15" s="17">
        <f>N15+O15+P15</f>
        <v/>
      </c>
      <c r="R15" s="17" t="inlineStr">
        <is>
          <t>우리만 가능</t>
        </is>
      </c>
      <c r="S15" s="3" t="inlineStr">
        <is>
          <t>14일</t>
        </is>
      </c>
      <c r="T15" s="3" t="inlineStr">
        <is>
          <t>해당 팀 핵심결과 5건 이상일 때만 판정</t>
        </is>
      </c>
      <c r="U15" s="3" t="inlineStr">
        <is>
          <t>회의 기록이 남거나 난이도 조정 이력이 생기면 즉시</t>
        </is>
      </c>
      <c r="V15" s="3" t="inlineStr">
        <is>
          <t>난이도(A~C)와 난이도 근거는 실측 존재(146건 중 98.6%). 회의 기록이 브라우저 80건 롤링이라 서버 보존 신설 필요. 억제: 핵심결과 1건의 난이도 문제는 소유자·1차에게만 뜨고, 2차에는 팀 분포로만 올린다</t>
        </is>
      </c>
    </row>
    <row r="16" ht="58" customHeight="1">
      <c r="A16" s="3" t="inlineStr">
        <is>
          <t>목표수립-조직장2차-04</t>
        </is>
      </c>
      <c r="B16" s="17" t="inlineStr">
        <is>
          <t>목표수립</t>
        </is>
      </c>
      <c r="C16" s="17" t="inlineStr">
        <is>
          <t>조직장(2차)</t>
        </is>
      </c>
      <c r="D16" s="17" t="inlineStr">
        <is>
          <t>③ 기준을 벗어났다</t>
        </is>
      </c>
      <c r="E16" s="3" t="inlineStr">
        <is>
          <t>팀별 목표 개수가 서로 달라요</t>
        </is>
      </c>
      <c r="F16" s="3" t="inlineStr">
        <is>
          <t>팀별 1인당 목표 수 1.2~2.4건 (내 조직 평균 1.7건)</t>
        </is>
      </c>
      <c r="G16" s="3" t="inlineStr">
        <is>
          <t>-</t>
        </is>
      </c>
      <c r="H16" s="17" t="inlineStr">
        <is>
          <t>없음</t>
        </is>
      </c>
      <c r="I16" s="3" t="inlineStr">
        <is>
          <t>-</t>
        </is>
      </c>
      <c r="J16" s="3" t="inlineStr">
        <is>
          <t>-</t>
        </is>
      </c>
      <c r="K16" s="17" t="inlineStr">
        <is>
          <t>-</t>
        </is>
      </c>
      <c r="L16" s="3" t="inlineStr">
        <is>
          <t>-</t>
        </is>
      </c>
      <c r="M16" s="3" t="inlineStr">
        <is>
          <t>-</t>
        </is>
      </c>
      <c r="N16" s="17" t="n">
        <v>1</v>
      </c>
      <c r="O16" s="17" t="n">
        <v>2</v>
      </c>
      <c r="P16" s="17" t="n">
        <v>2</v>
      </c>
      <c r="Q16" s="17">
        <f>N16+O16+P16</f>
        <v/>
      </c>
      <c r="R16" s="17" t="inlineStr">
        <is>
          <t>제외</t>
        </is>
      </c>
      <c r="S16" s="3" t="inlineStr">
        <is>
          <t>-</t>
        </is>
      </c>
      <c r="T16" s="3" t="inlineStr">
        <is>
          <t>-</t>
        </is>
      </c>
      <c r="U16" s="3" t="inlineStr">
        <is>
          <t>-</t>
        </is>
      </c>
      <c r="V16" s="3" t="inlineStr">
        <is>
          <t>목표 개수 차이는 팀 규모·업무 성격 차이로 대부분 설명되어 기준선을 세울 수 없다. 2차가 할 행동이 들여다보기로 끝나 위로 올릴 3조건 중 ③(상위 주체가 실제로 할 수 있는 일)을 충족하지 못해 제외. 난이도 쏠림(목표수립-조직장2차-03)으로 대체</t>
        </is>
      </c>
    </row>
    <row r="17" ht="58" customHeight="1">
      <c r="A17" s="3" t="inlineStr">
        <is>
          <t>목표수립-조직장2차-05</t>
        </is>
      </c>
      <c r="B17" s="17" t="inlineStr">
        <is>
          <t>목표수립</t>
        </is>
      </c>
      <c r="C17" s="17" t="inlineStr">
        <is>
          <t>조직장(2차)</t>
        </is>
      </c>
      <c r="D17" s="17" t="inlineStr">
        <is>
          <t>④ 서로 안 맞는다</t>
        </is>
      </c>
      <c r="E17" s="3" t="inlineStr">
        <is>
          <t>하위 팀 목표 4건이 상위와 안 이어져요</t>
        </is>
      </c>
      <c r="F17" s="3" t="inlineStr">
        <is>
          <t>하위 팀 목표 22건 중 4건이 내 조직 목표에 연결 없음 (제도 기준: 전 건 연결)</t>
        </is>
      </c>
      <c r="G17" s="3" t="inlineStr">
        <is>
          <t>하위 팀의 조직 목표 중 내 조직 목표에 연결되지 않은 것이 3건 이상이거나 하위 목표의 30% 이상일 때</t>
        </is>
      </c>
      <c r="H17" s="17" t="inlineStr">
        <is>
          <t>제도 기준값</t>
        </is>
      </c>
      <c r="I17" s="3" t="inlineStr">
        <is>
          <t>하위 팀 목표 목록; 목표의 상위목표 연결값; 내 조직 목표 목록; 전략과제 연결값; 목표의 소속 조직</t>
        </is>
      </c>
      <c r="J17" s="3" t="inlineStr">
        <is>
          <t>연결이 빠진 목표 제목과 소유 팀; 내 조직 목표·전략과제 목록; 연결 후보와 그 근거; 요청 문구에 넣을 사실 묶음</t>
        </is>
      </c>
      <c r="K17" s="17" t="inlineStr">
        <is>
          <t>A6 요청하기</t>
        </is>
      </c>
      <c r="L17" s="3" t="inlineStr">
        <is>
          <t>연결이 빠진 4건을 상위 목표에 맞춰 달라고 요청할까요?</t>
        </is>
      </c>
      <c r="M17" s="3" t="inlineStr">
        <is>
          <t>요청 기록 + 승인 흐름 (목표 정렬 요청 이력 저장 위치 신설 필요)</t>
        </is>
      </c>
      <c r="N17" s="17" t="n">
        <v>3</v>
      </c>
      <c r="O17" s="17" t="n">
        <v>2</v>
      </c>
      <c r="P17" s="17" t="n">
        <v>3</v>
      </c>
      <c r="Q17" s="17">
        <f>N17+O17+P17</f>
        <v/>
      </c>
      <c r="R17" s="17" t="inlineStr">
        <is>
          <t>우리만 가능</t>
        </is>
      </c>
      <c r="S17" s="3" t="inlineStr">
        <is>
          <t>14일</t>
        </is>
      </c>
      <c r="T17" s="3" t="inlineStr">
        <is>
          <t>3건 이상 또는 하위 목표의 30% 이상</t>
        </is>
      </c>
      <c r="U17" s="3" t="inlineStr">
        <is>
          <t>해당 목표에 상위 연결이 채워지면 즉시</t>
        </is>
      </c>
      <c r="V17" s="3" t="inlineStr">
        <is>
          <t>상위목표 연결 95% 실측 — 나머지 5%가 판정 대상. 억제: 목표 1건의 연결 누락은 소유자와 1차가 먼저 볼 기회를 가진 뒤 3건 이상 모일 때만 2차 카드를 만든다</t>
        </is>
      </c>
    </row>
    <row r="18" ht="58" customHeight="1">
      <c r="A18" s="3" t="inlineStr">
        <is>
          <t>목표수립-조직장2차-06</t>
        </is>
      </c>
      <c r="B18" s="17" t="inlineStr">
        <is>
          <t>목표수립</t>
        </is>
      </c>
      <c r="C18" s="17" t="inlineStr">
        <is>
          <t>조직장(2차)</t>
        </is>
      </c>
      <c r="D18" s="17" t="inlineStr">
        <is>
          <t>⑤ 무슨 일이 생겼다</t>
        </is>
      </c>
      <c r="E18" s="3" t="inlineStr">
        <is>
          <t>조직 개편 뒤 팀 목표가 그대로예요</t>
        </is>
      </c>
      <c r="F18" s="3" t="inlineStr">
        <is>
          <t>7월 1일 하위 2개 팀 통합, 통합 후 21일 경과했으나 목표 소유 팀 변경 0건</t>
        </is>
      </c>
      <c r="G18" s="3" t="inlineStr">
        <is>
          <t>하위 조직이 바뀌거나 팀원 발령이 있은 뒤 14일이 지났는데, 그 조직의 목표·핵심결과 소유가 하나도 바뀌지 않았을 때</t>
        </is>
      </c>
      <c r="H18" s="17" t="inlineStr">
        <is>
          <t>없음</t>
        </is>
      </c>
      <c r="I18" s="3" t="inlineStr">
        <is>
          <t>조직 변경 이력(통합·분할·신설)과 변경일; 구성원 발령 이력; 목표·핵심결과의 소속 조직과 소유자; 변경 후 경과일</t>
        </is>
      </c>
      <c r="J18" s="3" t="inlineStr">
        <is>
          <t>바뀐 조직도와 이전 조직도 비교; 영향받는 목표·핵심결과 목록; 이동한 구성원 명단; 재정렬 후보 배치안</t>
        </is>
      </c>
      <c r="K18" s="17" t="inlineStr">
        <is>
          <t>A6 요청하기</t>
        </is>
      </c>
      <c r="L18" s="3" t="inlineStr">
        <is>
          <t>통합된 팀의 목표를 다시 맞춰 달라고 요청할까요?</t>
        </is>
      </c>
      <c r="M18" s="3" t="inlineStr">
        <is>
          <t>요청 기록 + 승인 흐름 (목표 재정렬 요청 이력 저장 위치 신설 필요)</t>
        </is>
      </c>
      <c r="N18" s="17" t="n">
        <v>3</v>
      </c>
      <c r="O18" s="17" t="n">
        <v>1</v>
      </c>
      <c r="P18" s="17" t="n">
        <v>3</v>
      </c>
      <c r="Q18" s="17">
        <f>N18+O18+P18</f>
        <v/>
      </c>
      <c r="R18" s="17" t="inlineStr">
        <is>
          <t>우리만 가능</t>
        </is>
      </c>
      <c r="S18" s="3" t="inlineStr">
        <is>
          <t>재알림 없음(1회)</t>
        </is>
      </c>
      <c r="T18" s="3" t="inlineStr">
        <is>
          <t>해당 없음 — 조직 변경 자체가 팀 단위 사건이라 1건도 띄운다</t>
        </is>
      </c>
      <c r="U18" s="3" t="inlineStr">
        <is>
          <t>해당 조직의 목표 소유가 갱신되면 즉시</t>
        </is>
      </c>
      <c r="V18" s="3" t="inlineStr">
        <is>
          <t>발령·직무이동 이력 채움률 0.5%(221명 중 1명) — 휴넬/JaDE 발령 원천 연동 확인 필요, T5 신호 전체의 전제. 조직 변경 이력 테이블 존재 여부 확인 필요. 억제: 같은 사건으로 1차에게는 팀원별 목표 재정렬 알림이 뜨고, 2차에는 팀 단위 사건으로만 올린다</t>
        </is>
      </c>
    </row>
    <row r="19" ht="58" customHeight="1">
      <c r="A19" s="3" t="inlineStr">
        <is>
          <t>목표수립-HR경영진-01</t>
        </is>
      </c>
      <c r="B19" s="17" t="inlineStr">
        <is>
          <t>목표수립</t>
        </is>
      </c>
      <c r="C19" s="17" t="inlineStr">
        <is>
          <t>HR·경영진</t>
        </is>
      </c>
      <c r="D19" s="17" t="inlineStr">
        <is>
          <t>① 때가 됐다</t>
        </is>
      </c>
      <c r="E19" s="3" t="inlineStr">
        <is>
          <t>목표수립 마감 사흘 전인데 68%예요</t>
        </is>
      </c>
      <c r="F19" s="3" t="inlineStr">
        <is>
          <t>마감 3일 전 전사 목표 확정률 68% (제도 기준 마감 3일 전 90%); 미확정 조직 9개 / 전체 38개; 기준 시점 2026-07-16</t>
        </is>
      </c>
      <c r="G19" s="3" t="inlineStr">
        <is>
          <t>목표수립 마감일까지 3일 이하 남았고, 전사 목표 확정률이 90%에 못 미치며 미확정 조직이 5개 이상일 때</t>
        </is>
      </c>
      <c r="H19" s="17" t="inlineStr">
        <is>
          <t>제도 기준값</t>
        </is>
      </c>
      <c r="I19" s="3" t="inlineStr">
        <is>
          <t>목표 기간 일정의 개시일·마감일; 조직별 목표 확정 건수; 조직별 대상 인원수; 조직 목록과 조직장 사번</t>
        </is>
      </c>
      <c r="J19" s="3" t="inlineStr">
        <is>
          <t>미확정 조직 목록과 조직별 확정률; 조직별 남은 건수; 지난 사이클 같은 시점 확정률</t>
        </is>
      </c>
      <c r="K19" s="17" t="inlineStr">
        <is>
          <t>A3 보내기</t>
        </is>
      </c>
      <c r="L19" s="3" t="inlineStr">
        <is>
          <t>미확정 조직 9곳 조직장에게 독려 메시지를 보낼까요?</t>
        </is>
      </c>
      <c r="M19" s="3" t="inlineStr">
        <is>
          <t>독려 메시지 발송 기록(보냄·받음) + 조직별 처리 상태 — 알림 발송 원장 신설 필요</t>
        </is>
      </c>
      <c r="N19" s="17" t="n">
        <v>3</v>
      </c>
      <c r="O19" s="17" t="n">
        <v>3</v>
      </c>
      <c r="P19" s="17" t="n">
        <v>1</v>
      </c>
      <c r="Q19" s="17">
        <f>N19+O19+P19</f>
        <v/>
      </c>
      <c r="R19" s="17" t="inlineStr">
        <is>
          <t>기초</t>
        </is>
      </c>
      <c r="S19" s="3" t="inlineStr">
        <is>
          <t>3일</t>
        </is>
      </c>
      <c r="T19" s="3" t="inlineStr">
        <is>
          <t>조직·전사 합계 기준 미확정 조직 5개 이상 또는 전사 확정률 90% 미만</t>
        </is>
      </c>
      <c r="U19" s="3" t="inlineStr">
        <is>
          <t>전사 확정률이 90%에 닿거나 마감일이 지나면</t>
        </is>
      </c>
      <c r="V19" s="3" t="inlineStr">
        <is>
          <t>목표·평가 기간 일정 마스터(개시일·마감일·리마인드 기준일)가 없어 신설 필요 — 이 카드의 전제. 알림 발송·열람·처리 로그 원장도 서버 보존 신설 필요. 조직장(1차)에게 팀원 목표 미수립 카드가 먼저 떴다는 전제 아래 생성한다</t>
        </is>
      </c>
    </row>
    <row r="20" ht="58" customHeight="1">
      <c r="A20" s="3" t="inlineStr">
        <is>
          <t>목표수립-HR경영진-02</t>
        </is>
      </c>
      <c r="B20" s="17" t="inlineStr">
        <is>
          <t>목표수립</t>
        </is>
      </c>
      <c r="C20" s="17" t="inlineStr">
        <is>
          <t>HR·경영진</t>
        </is>
      </c>
      <c r="D20" s="17" t="inlineStr">
        <is>
          <t>② 비어 있다 / 멈췄다</t>
        </is>
      </c>
      <c r="E20" s="3" t="inlineStr">
        <is>
          <t>목표가 여러 조직에서 그대로 멈춰 있어요</t>
        </is>
      </c>
      <c r="F20" s="3" t="inlineStr">
        <is>
          <t>목표·핵심결과에 레코드 최종 수정 일시가 없어 정체 기간을 셀 수 없음; 기준 시점 2026-07-16</t>
        </is>
      </c>
      <c r="G20" s="3" t="inlineStr">
        <is>
          <t>-</t>
        </is>
      </c>
      <c r="H20" s="17" t="inlineStr">
        <is>
          <t>-</t>
        </is>
      </c>
      <c r="I20" s="3" t="inlineStr">
        <is>
          <t>-</t>
        </is>
      </c>
      <c r="J20" s="3" t="inlineStr">
        <is>
          <t>-</t>
        </is>
      </c>
      <c r="K20" s="17" t="inlineStr">
        <is>
          <t>-</t>
        </is>
      </c>
      <c r="L20" s="3" t="inlineStr">
        <is>
          <t>-</t>
        </is>
      </c>
      <c r="M20" s="3" t="inlineStr">
        <is>
          <t>-</t>
        </is>
      </c>
      <c r="N20" s="17" t="n">
        <v>2</v>
      </c>
      <c r="O20" s="17" t="n">
        <v>2</v>
      </c>
      <c r="P20" s="17" t="n">
        <v>1</v>
      </c>
      <c r="Q20" s="17">
        <f>N20+O20+P20</f>
        <v/>
      </c>
      <c r="R20" s="17" t="inlineStr">
        <is>
          <t>제외</t>
        </is>
      </c>
      <c r="S20" s="3" t="inlineStr">
        <is>
          <t>-</t>
        </is>
      </c>
      <c r="T20" s="3" t="inlineStr">
        <is>
          <t>-</t>
        </is>
      </c>
      <c r="U20" s="3" t="inlineStr">
        <is>
          <t>-</t>
        </is>
      </c>
      <c r="V20" s="3" t="inlineStr">
        <is>
          <t>목표·핵심결과·평가 어디에도 레코드 최종 수정 일시(updated_at)가 없어 '며칠째 그대로'를 판정할 수 없다 — 확인 1순위 항목. 미수립 자체는 ① 때가 됐다 카드(목표수립-HR경영진-01)가 이미 담당하므로 중복이다. updated_at이 생기면 재검토</t>
        </is>
      </c>
    </row>
    <row r="21" ht="58" customHeight="1">
      <c r="A21" s="3" t="inlineStr">
        <is>
          <t>목표수립-HR경영진-03</t>
        </is>
      </c>
      <c r="B21" s="17" t="inlineStr">
        <is>
          <t>목표수립</t>
        </is>
      </c>
      <c r="C21" s="17" t="inlineStr">
        <is>
          <t>HR·경영진</t>
        </is>
      </c>
      <c r="D21" s="17" t="inlineStr">
        <is>
          <t>③ 기준을 벗어났다</t>
        </is>
      </c>
      <c r="E21" s="3" t="inlineStr">
        <is>
          <t>쉬운 난이도 목표가 한 조직에 쏠려 있어요</t>
        </is>
      </c>
      <c r="F21" s="3" t="inlineStr">
        <is>
          <t>A조직 핵심결과 난이도 C 비중 62% (제도 기준 40% 이하, 전사 34%); 대상 핵심결과 21건; 기준 시점 2026-07-16</t>
        </is>
      </c>
      <c r="G21" s="3" t="inlineStr">
        <is>
          <t>한 조직의 핵심결과 중 가장 낮은 난이도의 비중이 제도 기준인 40%를 넘고, 대상 핵심결과가 10건 이상일 때</t>
        </is>
      </c>
      <c r="H21" s="17" t="inlineStr">
        <is>
          <t>제도 기준값</t>
        </is>
      </c>
      <c r="I21" s="3" t="inlineStr">
        <is>
          <t>핵심결과의 난이도 등급과 가중치; 핵심결과의 소속조직; 조직별 핵심결과 건수; 제도로 정한 난이도 분포 기준값</t>
        </is>
      </c>
      <c r="J21" s="3" t="inlineStr">
        <is>
          <t>조직별 난이도 분포와 전사 분포 비교; 난이도 근거 문장 표본; 같은 직무프로파일의 과업 난이도</t>
        </is>
      </c>
      <c r="K21" s="17" t="inlineStr">
        <is>
          <t>A6 요청하기</t>
        </is>
      </c>
      <c r="L21" s="3" t="inlineStr">
        <is>
          <t>해당 조직에 목표 난이도 재검토를 요청할까요?</t>
        </is>
      </c>
      <c r="M21" s="3" t="inlineStr">
        <is>
          <t>난이도 재검토 요청 기록 + 조직별 회신·수정 상태 — 요청 처리 원장 신설 필요</t>
        </is>
      </c>
      <c r="N21" s="17" t="n">
        <v>2</v>
      </c>
      <c r="O21" s="17" t="n">
        <v>2</v>
      </c>
      <c r="P21" s="17" t="n">
        <v>3</v>
      </c>
      <c r="Q21" s="17">
        <f>N21+O21+P21</f>
        <v/>
      </c>
      <c r="R21" s="17" t="inlineStr">
        <is>
          <t>우리만 가능</t>
        </is>
      </c>
      <c r="S21" s="3" t="inlineStr">
        <is>
          <t>14일</t>
        </is>
      </c>
      <c r="T21" s="3" t="inlineStr">
        <is>
          <t>조직·전사 합계 기준 조직당 대상 핵심결과 10건 이상 또는 그 조직 핵심결과의 20% 이상</t>
        </is>
      </c>
      <c r="U21" s="3" t="inlineStr">
        <is>
          <t>해당 조직의 난이도 분포가 기준 안으로 들어오거나 재검토 회신이 등록되면</t>
        </is>
      </c>
      <c r="V21" s="3" t="inlineStr">
        <is>
          <t>제도로 정한 난이도 분포 기준값이 아직 없어 확인·신설 필요. 난이도 등급(A~C)과 난이도 근거는 핵심결과 146건에 98.6% 채워져 있어 판정 자체는 가능. 경영진용 카드(목표수립-HR경영진-06)와 같은 원인이며 행동만 다르다</t>
        </is>
      </c>
    </row>
    <row r="22" ht="58" customHeight="1">
      <c r="A22" s="3" t="inlineStr">
        <is>
          <t>목표수립-HR경영진-04</t>
        </is>
      </c>
      <c r="B22" s="17" t="inlineStr">
        <is>
          <t>목표수립</t>
        </is>
      </c>
      <c r="C22" s="17" t="inlineStr">
        <is>
          <t>HR·경영진</t>
        </is>
      </c>
      <c r="D22" s="17" t="inlineStr">
        <is>
          <t>③ 기준을 벗어났다</t>
        </is>
      </c>
      <c r="E22" s="3" t="inlineStr">
        <is>
          <t>조직끼리 목표 눈높이가 크게 벌어졌어요</t>
        </is>
      </c>
      <c r="F22" s="3" t="inlineStr">
        <is>
          <t>조직 간 낮은 난이도 비중 격차 62%p (최고 62% vs 최저 0%); 가중치 상위 핵심결과의 평균 난이도 조직별 차이 1.4등급; 기준 시점 2026-07-16</t>
        </is>
      </c>
      <c r="G22" s="3" t="inlineStr">
        <is>
          <t>조직 간 낮은 난이도 비중 격차가 30%p 이상이고, 비교 대상 조직이 5개 이상일 때</t>
        </is>
      </c>
      <c r="H22" s="17" t="inlineStr">
        <is>
          <t>제도 기준값</t>
        </is>
      </c>
      <c r="I22" s="3" t="inlineStr">
        <is>
          <t>조직별 핵심결과 난이도 분포; 핵심결과 가중치; 조직 계층과 조직 기능; 조직별 인원수</t>
        </is>
      </c>
      <c r="J22" s="3" t="inlineStr">
        <is>
          <t>조직별 난이도·가중치 분포표; 조직 기능별 비교; 지난 사이클 같은 분포</t>
        </is>
      </c>
      <c r="K22" s="17" t="inlineStr">
        <is>
          <t>A5 들여다보기</t>
        </is>
      </c>
      <c r="L22" s="3" t="inlineStr">
        <is>
          <t>조직별 목표 눈높이 비교를 지금 열어볼까요?</t>
        </is>
      </c>
      <c r="M22" s="3" t="inlineStr">
        <is>
          <t>조회만 — 남는 것 없음</t>
        </is>
      </c>
      <c r="N22" s="17" t="n">
        <v>2</v>
      </c>
      <c r="O22" s="17" t="n">
        <v>2</v>
      </c>
      <c r="P22" s="17" t="n">
        <v>3</v>
      </c>
      <c r="Q22" s="17">
        <f>N22+O22+P22</f>
        <v/>
      </c>
      <c r="R22" s="17" t="inlineStr">
        <is>
          <t>우리만 가능</t>
        </is>
      </c>
      <c r="S22" s="3" t="inlineStr">
        <is>
          <t>14일</t>
        </is>
      </c>
      <c r="T22" s="3" t="inlineStr">
        <is>
          <t>조직·전사 합계 기준 비교 대상 조직 5개 이상</t>
        </is>
      </c>
      <c r="U22" s="3" t="inlineStr">
        <is>
          <t>조직 간 격차가 30%p 아래로 줄어들면</t>
        </is>
      </c>
      <c r="V22" s="3" t="inlineStr">
        <is>
          <t>조회 전용이므로 남는 기록이 없다. 같은 원인의 실제 조치는 HR용 카드(목표수립-HR경영진-05)의 난이도 재검토 요청으로 남으므로, 이 카드는 05와 묶어 생성하고 단독으로는 띄우지 않는다</t>
        </is>
      </c>
    </row>
    <row r="23" ht="58" customHeight="1">
      <c r="A23" s="3" t="inlineStr">
        <is>
          <t>목표수립-HR경영진-05</t>
        </is>
      </c>
      <c r="B23" s="17" t="inlineStr">
        <is>
          <t>목표수립</t>
        </is>
      </c>
      <c r="C23" s="17" t="inlineStr">
        <is>
          <t>HR·경영진</t>
        </is>
      </c>
      <c r="D23" s="17" t="inlineStr">
        <is>
          <t>④ 서로 안 맞는다</t>
        </is>
      </c>
      <c r="E23" s="3" t="inlineStr">
        <is>
          <t>세 조직에서 목표 연결이 끊겨 있어요</t>
        </is>
      </c>
      <c r="F23" s="3" t="inlineStr">
        <is>
          <t>3개 조직에서 상위목표에 연결되지 않은 목표 비중 35% (전사 5%); 대상 목표 14건; 기준 시점 2026-07-16</t>
        </is>
      </c>
      <c r="G23" s="3" t="inlineStr">
        <is>
          <t>한 조직 안에서 상위목표에 연결되지 않은 목표가 5건 이상이거나 그 조직 목표의 20% 이상일 때</t>
        </is>
      </c>
      <c r="H23" s="17" t="inlineStr">
        <is>
          <t>제도 기준값</t>
        </is>
      </c>
      <c r="I23" s="3" t="inlineStr">
        <is>
          <t>목표의 상위목표 연결 여부; 목표의 소속조직과 레벨; 조직 계층 구조; 조직별 목표 건수</t>
        </is>
      </c>
      <c r="J23" s="3" t="inlineStr">
        <is>
          <t>미연결 목표 목록과 조직별 비중; 해당 조직의 상위 조직목표 제목; 목표 연결 기준 안내 문구</t>
        </is>
      </c>
      <c r="K23" s="17" t="inlineStr">
        <is>
          <t>A3 보내기</t>
        </is>
      </c>
      <c r="L23" s="3" t="inlineStr">
        <is>
          <t>해당 조직 3곳에 목표 연결 기준을 안내하고 보완을 요청할까요?</t>
        </is>
      </c>
      <c r="M23" s="3" t="inlineStr">
        <is>
          <t>안내 메시지 발송 기록(보냄·받음) + 조직별 보완 요청 상태 — 알림 발송 원장 신설 필요</t>
        </is>
      </c>
      <c r="N23" s="17" t="n">
        <v>3</v>
      </c>
      <c r="O23" s="17" t="n">
        <v>2</v>
      </c>
      <c r="P23" s="17" t="n">
        <v>3</v>
      </c>
      <c r="Q23" s="17">
        <f>N23+O23+P23</f>
        <v/>
      </c>
      <c r="R23" s="17" t="inlineStr">
        <is>
          <t>우리만 가능</t>
        </is>
      </c>
      <c r="S23" s="3" t="inlineStr">
        <is>
          <t>14일</t>
        </is>
      </c>
      <c r="T23" s="3" t="inlineStr">
        <is>
          <t>조직·전사 합계 기준 조직당 미연결 5건 이상 또는 그 조직 목표의 20% 이상</t>
        </is>
      </c>
      <c r="U23" s="3" t="inlineStr">
        <is>
          <t>해당 조직의 미연결 비중이 20% 아래로 내려가면</t>
        </is>
      </c>
      <c r="V23" s="3" t="inlineStr">
        <is>
          <t>같은 원인으로 경영진용 카드(목표수립-HR경영진-03)가 함께 생성된다 — HR은 기준 안내·보완 독려, 경영진은 조직 목표 재정렬 요청으로 K·L·M만 갈린다. 조직장(1차)이 팀원 목표 정렬 카드를 먼저 받는다는 전제. 상위목표 연결은 목표 40건 중 95% 채워져 판정 가능</t>
        </is>
      </c>
    </row>
    <row r="24" ht="58" customHeight="1">
      <c r="A24" s="3" t="inlineStr">
        <is>
          <t>목표수립-HR경영진-06</t>
        </is>
      </c>
      <c r="B24" s="17" t="inlineStr">
        <is>
          <t>목표수립</t>
        </is>
      </c>
      <c r="C24" s="17" t="inlineStr">
        <is>
          <t>HR·경영진</t>
        </is>
      </c>
      <c r="D24" s="17" t="inlineStr">
        <is>
          <t>④ 서로 안 맞는다</t>
        </is>
      </c>
      <c r="E24" s="3" t="inlineStr">
        <is>
          <t>두 본부의 목표 방향이 갈라져 있어요</t>
        </is>
      </c>
      <c r="F24" s="3" t="inlineStr">
        <is>
          <t>본부 2곳에서 하위 목표의 상위목표 미연결 비중 35% (전사 5%); 해당 본부가 담당하는 전략과제에 연결된 목표 0건; 기준 시점 2026-07-16</t>
        </is>
      </c>
      <c r="G24" s="3" t="inlineStr">
        <is>
          <t>한 본부 안에서 상위목표에 연결되지 않은 목표가 20% 이상이고, 그 본부의 전략과제 연결 목표가 2건 이하일 때</t>
        </is>
      </c>
      <c r="H24" s="17" t="inlineStr">
        <is>
          <t>제도 기준값</t>
        </is>
      </c>
      <c r="I24" s="3" t="inlineStr">
        <is>
          <t>목표의 상위목표 연결; 목표의 전략과제 연결; 조직 계층과 본부 구분; 조직별 목표 건수와 인원수</t>
        </is>
      </c>
      <c r="J24" s="3" t="inlineStr">
        <is>
          <t>본부별 미연결 비중; 본부가 맡은 전략과제와 과제별 KPI 현재값; 연결이 끊긴 목표 제목</t>
        </is>
      </c>
      <c r="K24" s="17" t="inlineStr">
        <is>
          <t>A6 요청하기</t>
        </is>
      </c>
      <c r="L24" s="3" t="inlineStr">
        <is>
          <t>해당 본부장에게 조직 목표 재정렬 검토를 요청할까요?</t>
        </is>
      </c>
      <c r="M24" s="3" t="inlineStr">
        <is>
          <t>조직 목표 재정렬 검토 요청 기록 + 승인·회신 흐름 — 요청 처리 원장 신설 필요</t>
        </is>
      </c>
      <c r="N24" s="17" t="n">
        <v>3</v>
      </c>
      <c r="O24" s="17" t="n">
        <v>2</v>
      </c>
      <c r="P24" s="17" t="n">
        <v>3</v>
      </c>
      <c r="Q24" s="17">
        <f>N24+O24+P24</f>
        <v/>
      </c>
      <c r="R24" s="17" t="inlineStr">
        <is>
          <t>우리만 가능</t>
        </is>
      </c>
      <c r="S24" s="3" t="inlineStr">
        <is>
          <t>14일</t>
        </is>
      </c>
      <c r="T24" s="3" t="inlineStr">
        <is>
          <t>조직·전사 합계 기준 본부당 미연결 20% 이상이며 대상 목표 5건 이상</t>
        </is>
      </c>
      <c r="U24" s="3" t="inlineStr">
        <is>
          <t>요청 회신이 등록되거나 미연결 비중이 20% 아래로 내려가면</t>
        </is>
      </c>
      <c r="V24" s="3" t="inlineStr">
        <is>
          <t>HR용 카드(목표수립-HR경영진-02)와 같은 원인·같은 근거를 쓰고 행동만 다르다(HR=기준 안내, 경영진=조직 재정렬 요청). 두 카드가 함께 뜨므로 한쪽이 해소되면 다른 쪽 문구를 갱신한다. 전략과제 연결은 목표 100%·과제별 KPI가 있어 판정 가능</t>
        </is>
      </c>
    </row>
    <row r="25" ht="58" customHeight="1">
      <c r="A25" s="3" t="inlineStr">
        <is>
          <t>목표수립-HR경영진-07</t>
        </is>
      </c>
      <c r="B25" s="17" t="inlineStr">
        <is>
          <t>목표수립</t>
        </is>
      </c>
      <c r="C25" s="17" t="inlineStr">
        <is>
          <t>HR·경영진</t>
        </is>
      </c>
      <c r="D25" s="17" t="inlineStr">
        <is>
          <t>⑤ 무슨 일이 생겼다</t>
        </is>
      </c>
      <c r="E25" s="3" t="inlineStr">
        <is>
          <t>조직 개편 뒤 목표 재수립이 안 됐어요</t>
        </is>
      </c>
      <c r="F25" s="3" t="inlineStr">
        <is>
          <t>최근 30일 개편·발령 대상 34명 중 목표를 다시 세운 사람 6명 (18%); 소속이 바뀐 조직 4개; 기준 시점 2026-07-16</t>
        </is>
      </c>
      <c r="G25" s="3" t="inlineStr">
        <is>
          <t>최근 30일 안에 조직 개편이나 발령이 있었고, 그 대상 인원 중 목표를 다시 세운 비율이 50%에 못 미치며 대상이 5명 이상일 때</t>
        </is>
      </c>
      <c r="H25" s="17" t="inlineStr">
        <is>
          <t>계획 대비</t>
        </is>
      </c>
      <c r="I25" s="3" t="inlineStr">
        <is>
          <t>발령·직무이동 이력과 발효일; 이동 인원의 소속조직 변경 전후; 이동 후 목표 생성·수정 여부; 조직 개편 이력</t>
        </is>
      </c>
      <c r="J25" s="3" t="inlineStr">
        <is>
          <t>이동 인원이 속한 조직별 미재수립 건수; 이동 전 목표의 상위목표; 새 조직의 조직목표 제목</t>
        </is>
      </c>
      <c r="K25" s="17" t="inlineStr">
        <is>
          <t>A6 요청하기</t>
        </is>
      </c>
      <c r="L25" s="3" t="inlineStr">
        <is>
          <t>개편 대상 조직 4곳에 목표 재수립 기한을 다시 잡을까요?</t>
        </is>
      </c>
      <c r="M25" s="3" t="inlineStr">
        <is>
          <t>목표 재수립 기한 조정 요청 기록 + 조직별 이행 상태 — 요청 처리 원장 신설 필요</t>
        </is>
      </c>
      <c r="N25" s="17" t="n">
        <v>3</v>
      </c>
      <c r="O25" s="17" t="n">
        <v>2</v>
      </c>
      <c r="P25" s="17" t="n">
        <v>3</v>
      </c>
      <c r="Q25" s="17">
        <f>N25+O25+P25</f>
        <v/>
      </c>
      <c r="R25" s="17" t="inlineStr">
        <is>
          <t>우리만 가능</t>
        </is>
      </c>
      <c r="S25" s="3" t="inlineStr">
        <is>
          <t>재알림 없음(1회)</t>
        </is>
      </c>
      <c r="T25" s="3" t="inlineStr">
        <is>
          <t>조직·전사 합계 기준 이동 인원 5명 이상 또는 이동 대상 조직의 20% 이상</t>
        </is>
      </c>
      <c r="U25" s="3" t="inlineStr">
        <is>
          <t>대상 인원의 재수립 비율이 50%를 넘거나 조정된 기한이 등록되면</t>
        </is>
      </c>
      <c r="V25" s="3" t="inlineStr">
        <is>
          <t>발령·직무이동 이력 채움률이 221명 중 1명(0.5%)이라 휴넬·JaDE 발령 원천 연동 확인 필요 — 이 신호의 전제. 조직 개편 이력 테이블도 확인 필요. 중간점검 단계의 같은 원인은 이 카드로 흡수한다</t>
        </is>
      </c>
    </row>
    <row r="26" ht="58" customHeight="1">
      <c r="A26" s="3" t="inlineStr">
        <is>
          <t>중간점검-조직원-01</t>
        </is>
      </c>
      <c r="B26" s="17" t="inlineStr">
        <is>
          <t>중간점검</t>
        </is>
      </c>
      <c r="C26" s="17" t="inlineStr">
        <is>
          <t>조직원</t>
        </is>
      </c>
      <c r="D26" s="17" t="inlineStr">
        <is>
          <t>② 비어 있다 / 멈췄다</t>
        </is>
      </c>
      <c r="E26" s="3" t="inlineStr">
        <is>
          <t>진행 점검이 3주째 비어 있어요</t>
        </is>
      </c>
      <c r="F26" s="3" t="inlineStr">
        <is>
          <t>마지막 점검 후 21일 경과 (팀 평균 8일)</t>
        </is>
      </c>
      <c r="G26" s="3" t="inlineStr">
        <is>
          <t>마지막 점검일로부터 21일 이상 지났고, 목표 기간이 아직 남아 있을 때</t>
        </is>
      </c>
      <c r="H26" s="17" t="inlineStr">
        <is>
          <t>팀 평균</t>
        </is>
      </c>
      <c r="I26" s="3" t="inlineStr">
        <is>
          <t>점검 기록의 마지막 작성일; 목표 기간; 같은 팀의 점검 이력</t>
        </is>
      </c>
      <c r="J26" s="3" t="inlineStr">
        <is>
          <t>내 목표의 현재 진척; 최근 활동 기록; 지난 점검에 쓴 문장</t>
        </is>
      </c>
      <c r="K26" s="17" t="inlineStr">
        <is>
          <t>A1 쓰기</t>
        </is>
      </c>
      <c r="L26" s="3" t="inlineStr">
        <is>
          <t>이대로 진행 점검할까요?</t>
        </is>
      </c>
      <c r="M26" s="3" t="inlineStr">
        <is>
          <t>진행 점검 기록 신규 생성</t>
        </is>
      </c>
      <c r="N26" s="17" t="n">
        <v>3</v>
      </c>
      <c r="O26" s="17" t="n">
        <v>3</v>
      </c>
      <c r="P26" s="17" t="n">
        <v>1</v>
      </c>
      <c r="Q26" s="17">
        <f>N26+O26+P26</f>
        <v/>
      </c>
      <c r="R26" s="17" t="inlineStr">
        <is>
          <t>기초</t>
        </is>
      </c>
      <c r="S26" s="3" t="inlineStr">
        <is>
          <t>7일</t>
        </is>
      </c>
      <c r="T26" s="3" t="inlineStr">
        <is>
          <t>해당 없음</t>
        </is>
      </c>
      <c r="U26" s="3" t="inlineStr">
        <is>
          <t>점검을 저장하면 즉시</t>
        </is>
      </c>
      <c r="V26" s="3" t="inlineStr">
        <is>
          <t>점검 360건의 작성일은 실측 확인. 다만 목표 소유자와 점검 작성자 일치율이 5.6%여서 '내 목표'의 소유권 정의 확인 필요</t>
        </is>
      </c>
    </row>
    <row r="27" ht="58" customHeight="1">
      <c r="A27" s="3" t="inlineStr">
        <is>
          <t>중간점검-조직원-02</t>
        </is>
      </c>
      <c r="B27" s="17" t="inlineStr">
        <is>
          <t>중간점검</t>
        </is>
      </c>
      <c r="C27" s="17" t="inlineStr">
        <is>
          <t>조직원</t>
        </is>
      </c>
      <c r="D27" s="17" t="inlineStr">
        <is>
          <t>③ 기준을 벗어났다</t>
        </is>
      </c>
      <c r="E27" s="3" t="inlineStr">
        <is>
          <t>진척이 계획보다 30% 뒤처졌어요</t>
        </is>
      </c>
      <c r="F27" s="3" t="inlineStr">
        <is>
          <t>목표 기간 경과율 72%; 목표 G-0142 진척률 38% (계획 대비 34%포인트 낮음)</t>
        </is>
      </c>
      <c r="G27" s="3" t="inlineStr">
        <is>
          <t>목표 기간이 60% 이상 지났는데 진척률이 기간 경과율보다 30%포인트 이상 낮을 때</t>
        </is>
      </c>
      <c r="H27" s="17" t="inlineStr">
        <is>
          <t>계획 대비</t>
        </is>
      </c>
      <c r="I27" s="3" t="inlineStr">
        <is>
          <t>목표·핵심결과의 진척률; 목표 기간의 시작일과 종료일; 오늘 날짜</t>
        </is>
      </c>
      <c r="J27" s="3" t="inlineStr">
        <is>
          <t>뒤처진 핵심결과의 목표값과 현재값; 최근 점검의 장애요인 코멘트; 최근 점검의 확신도 기록</t>
        </is>
      </c>
      <c r="K27" s="17" t="inlineStr">
        <is>
          <t>A1 쓰기</t>
        </is>
      </c>
      <c r="L27" s="3" t="inlineStr">
        <is>
          <t>따라잡을 방법을 점검에 적어 볼까요?</t>
        </is>
      </c>
      <c r="M27" s="3" t="inlineStr">
        <is>
          <t>진행 점검 기록 신규 생성 (장애요인·만회 계획 포함)</t>
        </is>
      </c>
      <c r="N27" s="17" t="n">
        <v>3</v>
      </c>
      <c r="O27" s="17" t="n">
        <v>3</v>
      </c>
      <c r="P27" s="17" t="n">
        <v>2</v>
      </c>
      <c r="Q27" s="17">
        <f>N27+O27+P27</f>
        <v/>
      </c>
      <c r="R27" s="17" t="inlineStr">
        <is>
          <t>우리만 가능</t>
        </is>
      </c>
      <c r="S27" s="3" t="inlineStr">
        <is>
          <t>7일</t>
        </is>
      </c>
      <c r="T27" s="3" t="inlineStr">
        <is>
          <t>해당 없음</t>
        </is>
      </c>
      <c r="U27" s="3" t="inlineStr">
        <is>
          <t>점검을 저장하면 즉시</t>
        </is>
      </c>
      <c r="V27" s="3" t="inlineStr">
        <is>
          <t>목표·핵심결과 진척률과 장애요인(70%)·확신도는 실측 확인. 기간 경과율 계산에 목표 기간의 시작·종료 날짜가 필요하나 현재는 기간 문자열뿐 — 일정 마스터 확인 필요</t>
        </is>
      </c>
    </row>
    <row r="28" ht="58" customHeight="1">
      <c r="A28" s="3" t="inlineStr">
        <is>
          <t>중간점검-조직원-03</t>
        </is>
      </c>
      <c r="B28" s="17" t="inlineStr">
        <is>
          <t>중간점검</t>
        </is>
      </c>
      <c r="C28" s="17" t="inlineStr">
        <is>
          <t>조직원</t>
        </is>
      </c>
      <c r="D28" s="17" t="inlineStr">
        <is>
          <t>④ 서로 안 맞는다</t>
        </is>
      </c>
      <c r="E28" s="3" t="inlineStr">
        <is>
          <t>점검은 썼는데 수치는 그대로예요</t>
        </is>
      </c>
      <c r="F28" s="3" t="inlineStr">
        <is>
          <t>최근 점검 2회 연속 진척 증감 0%포인트; 핵심결과 KR-0233 현재값 32일째 동일 (내 이전 점검 평균 증감 +6%포인트)</t>
        </is>
      </c>
      <c r="G28" s="3" t="inlineStr">
        <is>
          <t>가장 최근 점검 2회의 진척 증감이 모두 0이고, 같은 핵심결과의 현재값이 30일 이상 바뀌지 않았을 때</t>
        </is>
      </c>
      <c r="H28" s="17" t="inlineStr">
        <is>
          <t>본인 예전 기록</t>
        </is>
      </c>
      <c r="I28" s="3" t="inlineStr">
        <is>
          <t>점검별 진척 증감; 핵심결과 현재값의 변경 이력; 점검 작성일</t>
        </is>
      </c>
      <c r="J28" s="3" t="inlineStr">
        <is>
          <t>멈춰 있는 핵심결과의 목표값·현재값; 최근 점검의 장애요인과 확신도; 지난 분기에 같은 상황을 풀어낸 점검 문장</t>
        </is>
      </c>
      <c r="K28" s="17" t="inlineStr">
        <is>
          <t>A2 고치기·맞추기</t>
        </is>
      </c>
      <c r="L28" s="3" t="inlineStr">
        <is>
          <t>핵심결과 현재값부터 맞춰 볼까요?</t>
        </is>
      </c>
      <c r="M28" s="3" t="inlineStr">
        <is>
          <t>핵심결과 현재값 수정 + 수정 이력, 점검 기록에 사유 추가</t>
        </is>
      </c>
      <c r="N28" s="17" t="n">
        <v>3</v>
      </c>
      <c r="O28" s="17" t="n">
        <v>2</v>
      </c>
      <c r="P28" s="17" t="n">
        <v>2</v>
      </c>
      <c r="Q28" s="17">
        <f>N28+O28+P28</f>
        <v/>
      </c>
      <c r="R28" s="17" t="inlineStr">
        <is>
          <t>우리만 가능</t>
        </is>
      </c>
      <c r="S28" s="3" t="inlineStr">
        <is>
          <t>7일</t>
        </is>
      </c>
      <c r="T28" s="3" t="inlineStr">
        <is>
          <t>해당 없음</t>
        </is>
      </c>
      <c r="U28" s="3" t="inlineStr">
        <is>
          <t>현재값을 수정하거나 사유를 담은 점검을 저장하면 즉시</t>
        </is>
      </c>
      <c r="V28" s="3" t="inlineStr">
        <is>
          <t>점검의 진척 증감은 실측 확인(360건). 핵심결과 현재값의 변경 이력이 없어 '32일째 동일'을 판정할 수 없음 — 값 변경 이력 신설 확인 필요. ②(비어 있다)와 원인이 겹쳐 보이므로, 점검이 계속 써지고 있을 때만 이 신호를 띄우고 그 외는 ②로 처리</t>
        </is>
      </c>
    </row>
    <row r="29" ht="58" customHeight="1">
      <c r="A29" s="3" t="inlineStr">
        <is>
          <t>중간점검-조직원-04</t>
        </is>
      </c>
      <c r="B29" s="17" t="inlineStr">
        <is>
          <t>중간점검</t>
        </is>
      </c>
      <c r="C29" s="17" t="inlineStr">
        <is>
          <t>조직원</t>
        </is>
      </c>
      <c r="D29" s="17" t="inlineStr">
        <is>
          <t>⑤ 무슨 일이 생겼다</t>
        </is>
      </c>
      <c r="E29" s="3" t="inlineStr">
        <is>
          <t>걸려 있는 상위 목표가 수정됐어요</t>
        </is>
      </c>
      <c r="F29" s="3" t="inlineStr">
        <is>
          <t>상위 목표 G-0007의 목표값 2026-07-20 변경(120억→150억); 이 목표에 연결된 내 목표 1건은 그 뒤 수정 없음</t>
        </is>
      </c>
      <c r="G29" s="3" t="inlineStr">
        <is>
          <t>내 목표가 연결된 상위 목표의 내용이나 목표값이 바뀐 지 7일 안이고, 내 목표는 그 뒤로 한 번도 수정되지 않았을 때</t>
        </is>
      </c>
      <c r="H29" s="17" t="inlineStr">
        <is>
          <t>없음</t>
        </is>
      </c>
      <c r="I29" s="3" t="inlineStr">
        <is>
          <t>상위 목표의 변경 이력과 변경 일시; 내 목표의 상위 목표 연결; 내 목표의 최종 수정 일시</t>
        </is>
      </c>
      <c r="J29" s="3" t="inlineStr">
        <is>
          <t>바뀐 상위 목표의 이전·이후 내용; 내 목표와 핵심결과 문장; 같은 상위 목표에 걸린 다른 목표들의 표현</t>
        </is>
      </c>
      <c r="K29" s="17" t="inlineStr">
        <is>
          <t>A2 고치기·맞추기</t>
        </is>
      </c>
      <c r="L29" s="3" t="inlineStr">
        <is>
          <t>바뀐 상위 목표에 맞춰 고쳐 볼까요?</t>
        </is>
      </c>
      <c r="M29" s="3" t="inlineStr">
        <is>
          <t>목표·핵심결과 수정 + 수정 이력 (상위 목표 변경 사유 연결)</t>
        </is>
      </c>
      <c r="N29" s="17" t="n">
        <v>3</v>
      </c>
      <c r="O29" s="17" t="n">
        <v>2</v>
      </c>
      <c r="P29" s="17" t="n">
        <v>3</v>
      </c>
      <c r="Q29" s="17">
        <f>N29+O29+P29</f>
        <v/>
      </c>
      <c r="R29" s="17" t="inlineStr">
        <is>
          <t>우리만 가능</t>
        </is>
      </c>
      <c r="S29" s="3" t="inlineStr">
        <is>
          <t>재알림 없음(1회)</t>
        </is>
      </c>
      <c r="T29" s="3" t="inlineStr">
        <is>
          <t>해당 없음</t>
        </is>
      </c>
      <c r="U29" s="3" t="inlineStr">
        <is>
          <t>목표를 저장하거나 '그대로 두기'로 표시하면 즉시</t>
        </is>
      </c>
      <c r="V29" s="3" t="inlineStr">
        <is>
          <t>상위 목표 연결은 실측 95%. 목표의 변경 이력·최종 수정 일시가 없어 신설 필요(확인 1순위). 같은 원인으로 조직장(1차)에게도 알림이 가능하므로 조직원 먼저, 3일 안에 반영되지 않을 때만 조직장에게 올리도록 순서 지정 필요</t>
        </is>
      </c>
    </row>
    <row r="30" ht="58" customHeight="1">
      <c r="A30" s="3" t="inlineStr">
        <is>
          <t>중간점검-조직원-05</t>
        </is>
      </c>
      <c r="B30" s="17" t="inlineStr">
        <is>
          <t>중간점검</t>
        </is>
      </c>
      <c r="C30" s="17" t="inlineStr">
        <is>
          <t>조직원</t>
        </is>
      </c>
      <c r="D30" s="17" t="inlineStr">
        <is>
          <t>⑤ 무슨 일이 생겼다</t>
        </is>
      </c>
      <c r="E30" s="3" t="inlineStr">
        <is>
          <t>같은 목표의 동료가 점검을 올렸어요</t>
        </is>
      </c>
      <c r="F30" s="3" t="inlineStr">
        <is>
          <t>목표 소유자와 점검 작성자 일치율 5.6%; 목표 40건 중 개인 목표 1건 — 공동으로 맡은 관계를 가려낼 원천이 없음</t>
        </is>
      </c>
      <c r="G30" s="3" t="inlineStr">
        <is>
          <t>-</t>
        </is>
      </c>
      <c r="H30" s="17" t="inlineStr">
        <is>
          <t>없음</t>
        </is>
      </c>
      <c r="I30" s="3" t="inlineStr">
        <is>
          <t>-</t>
        </is>
      </c>
      <c r="J30" s="3" t="inlineStr">
        <is>
          <t>-</t>
        </is>
      </c>
      <c r="K30" s="17" t="inlineStr">
        <is>
          <t>-</t>
        </is>
      </c>
      <c r="L30" s="3" t="inlineStr">
        <is>
          <t>-</t>
        </is>
      </c>
      <c r="M30" s="3" t="inlineStr">
        <is>
          <t>-</t>
        </is>
      </c>
      <c r="N30" s="17" t="n">
        <v>1</v>
      </c>
      <c r="O30" s="17" t="n">
        <v>1</v>
      </c>
      <c r="P30" s="17" t="n">
        <v>3</v>
      </c>
      <c r="Q30" s="17">
        <f>N30+O30+P30</f>
        <v/>
      </c>
      <c r="R30" s="17" t="inlineStr">
        <is>
          <t>제외</t>
        </is>
      </c>
      <c r="S30" s="3" t="inlineStr">
        <is>
          <t>-</t>
        </is>
      </c>
      <c r="T30" s="3" t="inlineStr">
        <is>
          <t>-</t>
        </is>
      </c>
      <c r="U30" s="3" t="inlineStr">
        <is>
          <t>-</t>
        </is>
      </c>
      <c r="V30" s="3" t="inlineStr">
        <is>
          <t>훑은 흔적으로만 남김. '같은 목표에 함께 걸린 동료'를 판정할 목표-참여자 관계가 사실상 없어 제외(신호 3조건 중 ③ 규칙 판정 불가). 목표에 공동 담당자 필드가 생기면 다시 검토</t>
        </is>
      </c>
    </row>
    <row r="31" ht="58" customHeight="1">
      <c r="A31" s="3" t="inlineStr">
        <is>
          <t>중간점검-조직장1차-01</t>
        </is>
      </c>
      <c r="B31" s="17" t="inlineStr">
        <is>
          <t>중간점검</t>
        </is>
      </c>
      <c r="C31" s="17" t="inlineStr">
        <is>
          <t>조직장(1차)</t>
        </is>
      </c>
      <c r="D31" s="17" t="inlineStr">
        <is>
          <t>① 때가 됐다</t>
        </is>
      </c>
      <c r="E31" s="3" t="inlineStr">
        <is>
          <t>팀원 점검 마감이 사흘 남았어요</t>
        </is>
      </c>
      <c r="F31" s="3" t="inlineStr">
        <is>
          <t>이번 회차 점검 마감 3일 전, 이 팀원 점검 0건 (직속 팀원 5명 중 4명 제출 완료)</t>
        </is>
      </c>
      <c r="G31" s="3" t="inlineStr">
        <is>
          <t>이번 회차 점검 마감일까지 3일 이하로 남았고, 그 팀원의 이번 회차 점검이 0건일 때</t>
        </is>
      </c>
      <c r="H31" s="17" t="inlineStr">
        <is>
          <t>제도 기준값</t>
        </is>
      </c>
      <c r="I31" s="3" t="inlineStr">
        <is>
          <t>중간점검 회차의 마감일; 팀원별 이번 회차 점검 건수; 직속 팀원 명단</t>
        </is>
      </c>
      <c r="J31" s="3" t="inlineStr">
        <is>
          <t>그 팀원 핵심결과의 목표값과 현재값; 지난 회차에 쓴 점검 문장; 최근 진척 증감</t>
        </is>
      </c>
      <c r="K31" s="17" t="inlineStr">
        <is>
          <t>A3 보내기</t>
        </is>
      </c>
      <c r="L31" s="3" t="inlineStr">
        <is>
          <t>점검 작성을 부탁하는 메시지를 보낼까요?</t>
        </is>
      </c>
      <c r="M31" s="3" t="inlineStr">
        <is>
          <t>메시지 기록 + 보냄·받음 기록 생성 (알림·메시지 발송·열람 원장 저장 위치 신설 필요)</t>
        </is>
      </c>
      <c r="N31" s="17" t="n">
        <v>3</v>
      </c>
      <c r="O31" s="17" t="n">
        <v>3</v>
      </c>
      <c r="P31" s="17" t="n">
        <v>1</v>
      </c>
      <c r="Q31" s="17">
        <f>N31+O31+P31</f>
        <v/>
      </c>
      <c r="R31" s="17" t="inlineStr">
        <is>
          <t>기초</t>
        </is>
      </c>
      <c r="S31" s="3" t="inlineStr">
        <is>
          <t>3일</t>
        </is>
      </c>
      <c r="T31" s="3" t="inlineStr">
        <is>
          <t>해당 없음</t>
        </is>
      </c>
      <c r="U31" s="3" t="inlineStr">
        <is>
          <t>그 팀원이 이번 회차 점검을 저장하면 즉시</t>
        </is>
      </c>
      <c r="V31" s="3" t="inlineStr">
        <is>
          <t>점검 회차와 마감일을 담는 일정 마스터가 없음 — 신설 확인 필요. 조직원에게 같은 원인 카드가 먼저 뜨므로 1차 카드는 마감 3일 전부터만 만든다</t>
        </is>
      </c>
    </row>
    <row r="32" ht="58" customHeight="1">
      <c r="A32" s="3" t="inlineStr">
        <is>
          <t>중간점검-조직장1차-02</t>
        </is>
      </c>
      <c r="B32" s="17" t="inlineStr">
        <is>
          <t>중간점검</t>
        </is>
      </c>
      <c r="C32" s="17" t="inlineStr">
        <is>
          <t>조직장(1차)</t>
        </is>
      </c>
      <c r="D32" s="17" t="inlineStr">
        <is>
          <t>② 비어 있다 / 멈췄다</t>
        </is>
      </c>
      <c r="E32" s="3" t="inlineStr">
        <is>
          <t>팀원 점검이 3주째 비어 있어요</t>
        </is>
      </c>
      <c r="F32" s="3" t="inlineStr">
        <is>
          <t>이 팀원 마지막 점검 후 21일 경과(마지막 작성 2026-07-07), 같은 팀 점검 간격 평균 8일, 목표 기간 45일 남음</t>
        </is>
      </c>
      <c r="G32" s="3" t="inlineStr">
        <is>
          <t>그 팀원의 마지막 점검일로부터 21일 이상 지났고, 그 팀원 목표 기간이 아직 남아 있을 때</t>
        </is>
      </c>
      <c r="H32" s="17" t="inlineStr">
        <is>
          <t>팀 평균</t>
        </is>
      </c>
      <c r="I32" s="3" t="inlineStr">
        <is>
          <t>팀원별 점검의 마지막 작성일; 같은 팀 점검 간격 평균; 그 팀원 목표의 기간</t>
        </is>
      </c>
      <c r="J32" s="3" t="inlineStr">
        <is>
          <t>그 팀원 목표·핵심결과의 진척률; 마지막 점검에 쓴 문장과 장애요인; 최근 진척 증감</t>
        </is>
      </c>
      <c r="K32" s="17" t="inlineStr">
        <is>
          <t>A3 보내기</t>
        </is>
      </c>
      <c r="L32" s="3" t="inlineStr">
        <is>
          <t>점검을 부탁하는 메시지를 보낼까요?</t>
        </is>
      </c>
      <c r="M32" s="3" t="inlineStr">
        <is>
          <t>메시지 기록 + 보냄·받음 기록 생성 (알림·메시지 발송·열람 원장 저장 위치 신설 필요)</t>
        </is>
      </c>
      <c r="N32" s="17" t="n">
        <v>3</v>
      </c>
      <c r="O32" s="17" t="n">
        <v>3</v>
      </c>
      <c r="P32" s="17" t="n">
        <v>2</v>
      </c>
      <c r="Q32" s="17">
        <f>N32+O32+P32</f>
        <v/>
      </c>
      <c r="R32" s="17" t="inlineStr">
        <is>
          <t>우리만 가능</t>
        </is>
      </c>
      <c r="S32" s="3" t="inlineStr">
        <is>
          <t>7일</t>
        </is>
      </c>
      <c r="T32" s="3" t="inlineStr">
        <is>
          <t>해당 없음</t>
        </is>
      </c>
      <c r="U32" s="3" t="inlineStr">
        <is>
          <t>그 팀원의 새 점검이 저장되면 즉시</t>
        </is>
      </c>
      <c r="V32" s="3" t="inlineStr">
        <is>
          <t>점검 작성일은 실측 확인됨(360건). 마감 임박 카드(중간점검-조직장1차-01)가 떠 있는 동안에는 이 카드를 만들지 않는다</t>
        </is>
      </c>
    </row>
    <row r="33" ht="58" customHeight="1">
      <c r="A33" s="3" t="inlineStr">
        <is>
          <t>중간점검-조직장1차-03</t>
        </is>
      </c>
      <c r="B33" s="17" t="inlineStr">
        <is>
          <t>중간점검</t>
        </is>
      </c>
      <c r="C33" s="17" t="inlineStr">
        <is>
          <t>조직장(1차)</t>
        </is>
      </c>
      <c r="D33" s="17" t="inlineStr">
        <is>
          <t>③ 기준을 벗어났다</t>
        </is>
      </c>
      <c r="E33" s="3" t="inlineStr">
        <is>
          <t>팀원 확신도가 두 번 낮게 왔어요</t>
        </is>
      </c>
      <c r="F33" s="3" t="inlineStr">
        <is>
          <t>이 팀원 최근 점검 2회 연속 확신도 낮음, 그 사이 진척 증감 0%p (같은 팀 같은 기간 평균 +9%p)</t>
        </is>
      </c>
      <c r="G33" s="3" t="inlineStr">
        <is>
          <t>그 팀원의 최근 점검 2회가 모두 확신도 낮음이고, 그 두 점검 사이 진척이 0%p 오른 상태일 때</t>
        </is>
      </c>
      <c r="H33" s="17" t="inlineStr">
        <is>
          <t>팀 평균</t>
        </is>
      </c>
      <c r="I33" s="3" t="inlineStr">
        <is>
          <t>점검의 확신도 값과 작성 순서; 점검별 진척 증감; 같은 팀 같은 기간의 진척 증감 평균</t>
        </is>
      </c>
      <c r="J33" s="3" t="inlineStr">
        <is>
          <t>그 팀원 점검 코멘트와 장애요인; 핵심결과의 목표값·현재값·가중치·난이도 근거; 목표 기간 중 남은 날짜</t>
        </is>
      </c>
      <c r="K33" s="17" t="inlineStr">
        <is>
          <t>A4 대화 잡기</t>
        </is>
      </c>
      <c r="L33" s="3" t="inlineStr">
        <is>
          <t>1on1을 잡고 이야기할 항목을 만들까요?</t>
        </is>
      </c>
      <c r="M33" s="3" t="inlineStr">
        <is>
          <t>일정 생성 + 이야기할 항목 기록(멈춘 핵심결과 2건·필요한 지원·목표값 조정 여부) (1on1 기록 서버 보존 신설 필요)</t>
        </is>
      </c>
      <c r="N33" s="17" t="n">
        <v>3</v>
      </c>
      <c r="O33" s="17" t="n">
        <v>2</v>
      </c>
      <c r="P33" s="17" t="n">
        <v>3</v>
      </c>
      <c r="Q33" s="17">
        <f>N33+O33+P33</f>
        <v/>
      </c>
      <c r="R33" s="17" t="inlineStr">
        <is>
          <t>우리만 가능</t>
        </is>
      </c>
      <c r="S33" s="3" t="inlineStr">
        <is>
          <t>7일</t>
        </is>
      </c>
      <c r="T33" s="3" t="inlineStr">
        <is>
          <t>해당 없음</t>
        </is>
      </c>
      <c r="U33" s="3" t="inlineStr">
        <is>
          <t>1on1 일정이 저장되면 즉시</t>
        </is>
      </c>
      <c r="V33" s="3" t="inlineStr">
        <is>
          <t>확신도(high/medium/low)와 진척 증감은 실측 확인됨(점검 360건). 1on1 기록이 브라우저 80건 롤링뿐이어서 서버 보존 신설 필요</t>
        </is>
      </c>
    </row>
    <row r="34" ht="58" customHeight="1">
      <c r="A34" s="3" t="inlineStr">
        <is>
          <t>중간점검-조직장1차-04</t>
        </is>
      </c>
      <c r="B34" s="17" t="inlineStr">
        <is>
          <t>중간점검</t>
        </is>
      </c>
      <c r="C34" s="17" t="inlineStr">
        <is>
          <t>조직장(1차)</t>
        </is>
      </c>
      <c r="D34" s="17" t="inlineStr">
        <is>
          <t>③ 기준을 벗어났다</t>
        </is>
      </c>
      <c r="E34" s="3" t="inlineStr">
        <is>
          <t>팀원 점검에 달린 좋아요가 줄었어요</t>
        </is>
      </c>
      <c r="F34" s="3" t="inlineStr">
        <is>
          <t>이 팀원 점검 최근 3회 좋아요 평균 0.3건 (같은 팀 평균 1.8건)</t>
        </is>
      </c>
      <c r="G34" s="3" t="inlineStr">
        <is>
          <t>-</t>
        </is>
      </c>
      <c r="H34" s="17" t="inlineStr">
        <is>
          <t>-</t>
        </is>
      </c>
      <c r="I34" s="3" t="inlineStr">
        <is>
          <t>-</t>
        </is>
      </c>
      <c r="J34" s="3" t="inlineStr">
        <is>
          <t>-</t>
        </is>
      </c>
      <c r="K34" s="17" t="inlineStr">
        <is>
          <t>-</t>
        </is>
      </c>
      <c r="L34" s="3" t="inlineStr">
        <is>
          <t>-</t>
        </is>
      </c>
      <c r="M34" s="3" t="inlineStr">
        <is>
          <t>-</t>
        </is>
      </c>
      <c r="N34" s="17" t="n">
        <v>1</v>
      </c>
      <c r="O34" s="17" t="n">
        <v>2</v>
      </c>
      <c r="P34" s="17" t="n">
        <v>2</v>
      </c>
      <c r="Q34" s="17">
        <f>N34+O34+P34</f>
        <v/>
      </c>
      <c r="R34" s="17" t="inlineStr">
        <is>
          <t>제외</t>
        </is>
      </c>
      <c r="S34" s="3" t="inlineStr">
        <is>
          <t>-</t>
        </is>
      </c>
      <c r="T34" s="3" t="inlineStr">
        <is>
          <t>-</t>
        </is>
      </c>
      <c r="U34" s="3" t="inlineStr">
        <is>
          <t>-</t>
        </is>
      </c>
      <c r="V34" s="3" t="inlineStr">
        <is>
          <t>좋아요 수는 실측 있으나 줄었다고 해서 조직장이 무엇을 해야 하는지 정해지지 않아 제외(신호 3조건 중 '특정한 사람이 무언가를 해야 한다'가 빠짐)</t>
        </is>
      </c>
    </row>
    <row r="35" ht="58" customHeight="1">
      <c r="A35" s="3" t="inlineStr">
        <is>
          <t>중간점검-조직장1차-05</t>
        </is>
      </c>
      <c r="B35" s="17" t="inlineStr">
        <is>
          <t>중간점검</t>
        </is>
      </c>
      <c r="C35" s="17" t="inlineStr">
        <is>
          <t>조직장(1차)</t>
        </is>
      </c>
      <c r="D35" s="17" t="inlineStr">
        <is>
          <t>⑤ 무슨 일이 생겼다</t>
        </is>
      </c>
      <c r="E35" s="3" t="inlineStr">
        <is>
          <t>팀원이 막힌 일을 또 적어 올렸어요</t>
        </is>
      </c>
      <c r="F35" s="3" t="inlineStr">
        <is>
          <t>이 팀원 최근 점검 3회 중 2회에 장애요인 기록(마지막 2026-07-24), 최근 14일 1on1 기록 0건</t>
        </is>
      </c>
      <c r="G35" s="3" t="inlineStr">
        <is>
          <t>그 팀원의 최근 점검 3회 중 2회 이상에 장애요인이 적혀 있고, 최근 14일 안에 그 팀원과의 1on1 기록이 없을 때</t>
        </is>
      </c>
      <c r="H35" s="17" t="inlineStr">
        <is>
          <t>없음</t>
        </is>
      </c>
      <c r="I35" s="3" t="inlineStr">
        <is>
          <t>점검의 장애요인 기록 여부와 작성일; 그 팀원과의 1on1 기록 유무와 날짜; 점검 회차 순서</t>
        </is>
      </c>
      <c r="J35" s="3" t="inlineStr">
        <is>
          <t>장애요인에 적힌 문장 2건; 해당 핵심결과의 진척률과 난이도 근거; 같은 장애요인이 걸린 다른 팀원 목표</t>
        </is>
      </c>
      <c r="K35" s="17" t="inlineStr">
        <is>
          <t>A4 대화 잡기</t>
        </is>
      </c>
      <c r="L35" s="3" t="inlineStr">
        <is>
          <t>막힌 일을 풀 대화를 잡을까요?</t>
        </is>
      </c>
      <c r="M35" s="3" t="inlineStr">
        <is>
          <t>일정 생성 + 이야기할 항목 기록(반복된 장애요인 2건·내가 내려야 할 결정·도와줄 사람) (1on1 기록 서버 보존 신설 필요)</t>
        </is>
      </c>
      <c r="N35" s="17" t="n">
        <v>3</v>
      </c>
      <c r="O35" s="17" t="n">
        <v>2</v>
      </c>
      <c r="P35" s="17" t="n">
        <v>3</v>
      </c>
      <c r="Q35" s="17">
        <f>N35+O35+P35</f>
        <v/>
      </c>
      <c r="R35" s="17" t="inlineStr">
        <is>
          <t>우리만 가능</t>
        </is>
      </c>
      <c r="S35" s="3" t="inlineStr">
        <is>
          <t>재알림 없음(1회)</t>
        </is>
      </c>
      <c r="T35" s="3" t="inlineStr">
        <is>
          <t>해당 없음</t>
        </is>
      </c>
      <c r="U35" s="3" t="inlineStr">
        <is>
          <t>1on1 일정이 저장되거나 이야기할 항목에 더해지면 즉시</t>
        </is>
      </c>
      <c r="V35" s="3" t="inlineStr">
        <is>
          <t>장애요인 채움률 70% 실측. 같은 팀원에게 1on1 카드(중간점검-조직장1차-03)가 이미 있으면 새 카드를 만들지 않고 그 카드의 이야기할 항목에만 더한다. 1on1 기록 서버 보존 신설 필요</t>
        </is>
      </c>
    </row>
    <row r="36" ht="58" customHeight="1">
      <c r="A36" s="3" t="inlineStr">
        <is>
          <t>중간점검-조직장2차-01</t>
        </is>
      </c>
      <c r="B36" s="17" t="inlineStr">
        <is>
          <t>중간점검</t>
        </is>
      </c>
      <c r="C36" s="17" t="inlineStr">
        <is>
          <t>조직장(2차)</t>
        </is>
      </c>
      <c r="D36" s="17" t="inlineStr">
        <is>
          <t>① 때가 됐다</t>
        </is>
      </c>
      <c r="E36" s="3" t="inlineStr">
        <is>
          <t>점검 마감 3일 남았는데 두 팀이 비었어요</t>
        </is>
      </c>
      <c r="F36" s="3" t="inlineStr">
        <is>
          <t>중간점검 마감 3일 전, 하위 2개 팀 점검률 20% 미만 (내 조직 평균 68%)</t>
        </is>
      </c>
      <c r="G36" s="3" t="inlineStr">
        <is>
          <t>중간점검 마감일이 3일 이내로 남았고, 하위 팀 중 점검률이 30% 미만인 팀이 1개 이상일 때</t>
        </is>
      </c>
      <c r="H36" s="17" t="inlineStr">
        <is>
          <t>제도 기준값</t>
        </is>
      </c>
      <c r="I36" s="3" t="inlineStr">
        <is>
          <t>중간점검 기간의 마감일; 하위 팀별 핵심결과 건수; 팀별 점검 작성 건수와 작성일; 내 조직 평균 점검률</t>
        </is>
      </c>
      <c r="J36" s="3" t="inlineStr">
        <is>
          <t>팀별 점검률 표; 마감일까지 남은 일수; 점검이 없는 핵심결과 수; 메시지를 받을 1차 평가자 명단</t>
        </is>
      </c>
      <c r="K36" s="17" t="inlineStr">
        <is>
          <t>A3 보내기</t>
        </is>
      </c>
      <c r="L36" s="3" t="inlineStr">
        <is>
          <t>점검이 밀린 두 팀장에게 마감 안내를 보낼까요?</t>
        </is>
      </c>
      <c r="M36" s="3" t="inlineStr">
        <is>
          <t>메시지 기록 + 보냄·받음 기록 (알림 원장에 발송 결과 저장 — 서버 원장 신설 필요)</t>
        </is>
      </c>
      <c r="N36" s="17" t="n">
        <v>3</v>
      </c>
      <c r="O36" s="17" t="n">
        <v>3</v>
      </c>
      <c r="P36" s="17" t="n">
        <v>1</v>
      </c>
      <c r="Q36" s="17">
        <f>N36+O36+P36</f>
        <v/>
      </c>
      <c r="R36" s="17" t="inlineStr">
        <is>
          <t>기초</t>
        </is>
      </c>
      <c r="S36" s="3" t="inlineStr">
        <is>
          <t>3일</t>
        </is>
      </c>
      <c r="T36" s="3" t="inlineStr">
        <is>
          <t>3건 이상 또는 팀의 30% 이상</t>
        </is>
      </c>
      <c r="U36" s="3" t="inlineStr">
        <is>
          <t>해당 팀 점검률이 70% 이상이 되면 즉시</t>
        </is>
      </c>
      <c r="V36" s="3" t="inlineStr">
        <is>
          <t>중간점검 기간의 마감일을 담는 일정 마스터가 없음 — 신설 필요. 억제: 팀원 개인 점검 독려는 1차가 먼저 하고, 2차에는 팀 합계만 올린다</t>
        </is>
      </c>
    </row>
    <row r="37" ht="58" customHeight="1">
      <c r="A37" s="3" t="inlineStr">
        <is>
          <t>중간점검-조직장2차-02</t>
        </is>
      </c>
      <c r="B37" s="17" t="inlineStr">
        <is>
          <t>중간점검</t>
        </is>
      </c>
      <c r="C37" s="17" t="inlineStr">
        <is>
          <t>조직장(2차)</t>
        </is>
      </c>
      <c r="D37" s="17" t="inlineStr">
        <is>
          <t>② 비어 있다 / 멈췄다</t>
        </is>
      </c>
      <c r="E37" s="3" t="inlineStr">
        <is>
          <t>D팀 점검이 3주째 멈춰 있어요</t>
        </is>
      </c>
      <c r="F37" s="3" t="inlineStr">
        <is>
          <t>D팀 핵심결과 12건 중 9건이 마지막 점검 후 21일 경과 (내 조직 평균 8일)</t>
        </is>
      </c>
      <c r="G37" s="3" t="inlineStr">
        <is>
          <t>한 팀의 핵심결과 중 마지막 점검일이 21일 넘은 것이 팀의 30%를 넘고, 목표 기간이 아직 남아 있을 때</t>
        </is>
      </c>
      <c r="H37" s="17" t="inlineStr">
        <is>
          <t>팀 평균</t>
        </is>
      </c>
      <c r="I37" s="3" t="inlineStr">
        <is>
          <t>핵심결과별 마지막 점검 작성일; 팀별 핵심결과 건수; 목표 기간 종료일; 하위 팀별 평균 점검 간격</t>
        </is>
      </c>
      <c r="J37" s="3" t="inlineStr">
        <is>
          <t>팀별 점검 간격 비교; 멈춘 핵심결과 목록과 진척; 해당 팀장의 최근 1on1 기록 유무; 회의에서 다룰 항목 초안</t>
        </is>
      </c>
      <c r="K37" s="17" t="inlineStr">
        <is>
          <t>A4 대화 잡기</t>
        </is>
      </c>
      <c r="L37" s="3" t="inlineStr">
        <is>
          <t>D팀장과 팀 점검 상황을 볼 회의를 잡을까요?</t>
        </is>
      </c>
      <c r="M37" s="3" t="inlineStr">
        <is>
          <t>일정 + 이야기할 항목 기록 (1차 평가자 검토 회의 기록 — 서버 보존 신설 필요)</t>
        </is>
      </c>
      <c r="N37" s="17" t="n">
        <v>3</v>
      </c>
      <c r="O37" s="17" t="n">
        <v>3</v>
      </c>
      <c r="P37" s="17" t="n">
        <v>2</v>
      </c>
      <c r="Q37" s="17">
        <f>N37+O37+P37</f>
        <v/>
      </c>
      <c r="R37" s="17" t="inlineStr">
        <is>
          <t>우리만 가능</t>
        </is>
      </c>
      <c r="S37" s="3" t="inlineStr">
        <is>
          <t>14일</t>
        </is>
      </c>
      <c r="T37" s="3" t="inlineStr">
        <is>
          <t>3건 이상 또는 팀의 30% 이상</t>
        </is>
      </c>
      <c r="U37" s="3" t="inlineStr">
        <is>
          <t>점검이 다시 작성되어 멈춘 비율이 30% 밑이 되면 즉시</t>
        </is>
      </c>
      <c r="V37" s="3" t="inlineStr">
        <is>
          <t>점검 작성일은 실측 존재(360건)로 판정 가능. 1on1·회의 기록이 브라우저 80건 롤링이라 서버 보존 신설 필요. 억제: 같은 원인으로 1차에게 팀원별 점검 공백 알림이 먼저 뜬 뒤에만 2차 팀 합계 카드를 만든다</t>
        </is>
      </c>
    </row>
    <row r="38" ht="58" customHeight="1">
      <c r="A38" s="3" t="inlineStr">
        <is>
          <t>중간점검-조직장2차-03</t>
        </is>
      </c>
      <c r="B38" s="17" t="inlineStr">
        <is>
          <t>중간점검</t>
        </is>
      </c>
      <c r="C38" s="17" t="inlineStr">
        <is>
          <t>조직장(2차)</t>
        </is>
      </c>
      <c r="D38" s="17" t="inlineStr">
        <is>
          <t>③ 기준을 벗어났다</t>
        </is>
      </c>
      <c r="E38" s="3" t="inlineStr">
        <is>
          <t>팀 사이 진척 차이가 30%p 벌어졌어요</t>
        </is>
      </c>
      <c r="F38" s="3" t="inlineStr">
        <is>
          <t>하위 팀 평균 진척 최고 78% / 최저 41%, 격차 37%p (기간 경과 대비 기대 60%)</t>
        </is>
      </c>
      <c r="G38" s="3" t="inlineStr">
        <is>
          <t>같은 기간에 하위 팀 사이 평균 진척 격차가 30%p 이상이고, 가장 낮은 팀이 기간 경과 대비 기대 진척보다 15%p 이상 아래일 때</t>
        </is>
      </c>
      <c r="H38" s="17" t="inlineStr">
        <is>
          <t>계획 대비</t>
        </is>
      </c>
      <c r="I38" s="3" t="inlineStr">
        <is>
          <t>하위 팀별 핵심결과 진척률; 목표 기간의 경과 비율; 핵심결과 가중치; 팀별 점검 작성률</t>
        </is>
      </c>
      <c r="J38" s="3" t="inlineStr">
        <is>
          <t>팀별 진척·점검률 비교표; 뒤처진 팀의 장애요인 코멘트; 지난 분기 같은 시점 비교; 요청 문구에 넣을 사실 묶음</t>
        </is>
      </c>
      <c r="K38" s="17" t="inlineStr">
        <is>
          <t>A6 요청하기</t>
        </is>
      </c>
      <c r="L38" s="3" t="inlineStr">
        <is>
          <t>뒤처진 팀의 목표 재조정을 요청할까요?</t>
        </is>
      </c>
      <c r="M38" s="3" t="inlineStr">
        <is>
          <t>요청 기록 + 승인 흐름 (목표 재조정 요청 이력 저장 위치 신설 필요)</t>
        </is>
      </c>
      <c r="N38" s="17" t="n">
        <v>3</v>
      </c>
      <c r="O38" s="17" t="n">
        <v>2</v>
      </c>
      <c r="P38" s="17" t="n">
        <v>3</v>
      </c>
      <c r="Q38" s="17">
        <f>N38+O38+P38</f>
        <v/>
      </c>
      <c r="R38" s="17" t="inlineStr">
        <is>
          <t>우리만 가능</t>
        </is>
      </c>
      <c r="S38" s="3" t="inlineStr">
        <is>
          <t>14일</t>
        </is>
      </c>
      <c r="T38" s="3" t="inlineStr">
        <is>
          <t>하위 팀 3개 이상, 각 팀 핵심결과 3건 이상일 때만 비교</t>
        </is>
      </c>
      <c r="U38" s="3" t="inlineStr">
        <is>
          <t>격차가 30%p 밑으로 줄거나 재조정 요청이 종결되면 즉시</t>
        </is>
      </c>
      <c r="V38" s="3" t="inlineStr">
        <is>
          <t>진척률·가중치는 실측 존재. 기간 경과 대비 기대 진척을 계산할 기간 일정 마스터가 없음 — 신설 필요. 억제: 팀원 개인의 진척 저조는 1차에게만 뜨고, 2차에는 팀 평균 비교로만 올린다</t>
        </is>
      </c>
    </row>
    <row r="39" ht="58" customHeight="1">
      <c r="A39" s="3" t="inlineStr">
        <is>
          <t>중간점검-조직장2차-04</t>
        </is>
      </c>
      <c r="B39" s="17" t="inlineStr">
        <is>
          <t>중간점검</t>
        </is>
      </c>
      <c r="C39" s="17" t="inlineStr">
        <is>
          <t>조직장(2차)</t>
        </is>
      </c>
      <c r="D39" s="17" t="inlineStr">
        <is>
          <t>④ 서로 안 맞는다</t>
        </is>
      </c>
      <c r="E39" s="3" t="inlineStr">
        <is>
          <t>팀 진척은 올랐는데 상위 목표는 그대로예요</t>
        </is>
      </c>
      <c r="F39" s="3" t="inlineStr">
        <is>
          <t>하위 팀 평균 진척 +18%p, 내 조직 목표 진척 +2%p, 연결 전략과제 KPI 변동 없음</t>
        </is>
      </c>
      <c r="G39" s="3" t="inlineStr">
        <is>
          <t>하위 팀 평균 진척이 15%p 이상 올랐는데 같은 기간 내 조직 목표 진척이 5%p 미만으로 움직였을 때</t>
        </is>
      </c>
      <c r="H39" s="17" t="inlineStr">
        <is>
          <t>본인 예전 기록</t>
        </is>
      </c>
      <c r="I39" s="3" t="inlineStr">
        <is>
          <t>하위 팀 목표·핵심결과의 진척 스냅샷과 진척 증감; 내 조직 목표의 진척 증감; 목표 간 상하 연결관계; 전략과제 KPI 목표값·현재값</t>
        </is>
      </c>
      <c r="J39" s="3" t="inlineStr">
        <is>
          <t>하위 팀별 진척 기여도 표; 내 조직 목표의 핵심결과별 진척; 연결이 약한 하위 목표 목록; 회의에서 다룰 항목 초안</t>
        </is>
      </c>
      <c r="K39" s="17" t="inlineStr">
        <is>
          <t>A4 대화 잡기</t>
        </is>
      </c>
      <c r="L39" s="3" t="inlineStr">
        <is>
          <t>하위 팀장들과 목표 연결을 다시 볼 회의를 잡을까요?</t>
        </is>
      </c>
      <c r="M39" s="3" t="inlineStr">
        <is>
          <t>일정 + 이야기할 항목 기록 (목표 검토 회의 기록 — 서버 보존 신설 필요)</t>
        </is>
      </c>
      <c r="N39" s="17" t="n">
        <v>3</v>
      </c>
      <c r="O39" s="17" t="n">
        <v>2</v>
      </c>
      <c r="P39" s="17" t="n">
        <v>3</v>
      </c>
      <c r="Q39" s="17">
        <f>N39+O39+P39</f>
        <v/>
      </c>
      <c r="R39" s="17" t="inlineStr">
        <is>
          <t>우리만 가능</t>
        </is>
      </c>
      <c r="S39" s="3" t="inlineStr">
        <is>
          <t>14일</t>
        </is>
      </c>
      <c r="T39" s="3" t="inlineStr">
        <is>
          <t>하위 팀 3개 이상, 하위 핵심결과 5건 이상일 때만 비교</t>
        </is>
      </c>
      <c r="U39" s="3" t="inlineStr">
        <is>
          <t>회의 기록이 남거나 내 조직 목표 진척이 갱신되면 즉시</t>
        </is>
      </c>
      <c r="V39" s="3" t="inlineStr">
        <is>
          <t>진척 증감·전략과제 KPI는 실측 존재(전략과제 연결 100%). 하위 목표 진척이 상위 목표 진척에 반영되는 계산 규칙 확인 필요. 억제: 이 카드는 2차 전용 — 상위 목표 소유자가 2차이므로 1차·조직원에는 만들지 않는다</t>
        </is>
      </c>
    </row>
    <row r="40" ht="58" customHeight="1">
      <c r="A40" s="3" t="inlineStr">
        <is>
          <t>중간점검-조직장2차-05</t>
        </is>
      </c>
      <c r="B40" s="17" t="inlineStr">
        <is>
          <t>중간점검</t>
        </is>
      </c>
      <c r="C40" s="17" t="inlineStr">
        <is>
          <t>조직장(2차)</t>
        </is>
      </c>
      <c r="D40" s="17" t="inlineStr">
        <is>
          <t>⑤ 무슨 일이 생겼다</t>
        </is>
      </c>
      <c r="E40" s="3" t="inlineStr">
        <is>
          <t>세 팀이 같은 장애요인을 올렸어요</t>
        </is>
      </c>
      <c r="F40" s="3" t="inlineStr">
        <is>
          <t>최근 14일 점검에서 같은 장애요인이 3개 팀·7건 반복 (직전 14일 1건)</t>
        </is>
      </c>
      <c r="G40" s="3" t="inlineStr">
        <is>
          <t>최근 14일 안에 올라온 점검의 장애요인이 서로 다른 팀 3곳 이상에서 같은 항목으로 3건 넘게 반복될 때</t>
        </is>
      </c>
      <c r="H40" s="17" t="inlineStr">
        <is>
          <t>본인 예전 기록</t>
        </is>
      </c>
      <c r="I40" s="3" t="inlineStr">
        <is>
          <t>점검의 장애요인 항목과 작성일; 점검 작성자의 소속 팀; 직전 같은 기간의 같은 항목 건수; 연결된 목표·핵심결과</t>
        </is>
      </c>
      <c r="J40" s="3" t="inlineStr">
        <is>
          <t>반복된 장애요인 원문 묶음; 영향받는 핵심결과와 진척; 팀별 발생 건수; 요청 문구에 넣을 사실 묶음</t>
        </is>
      </c>
      <c r="K40" s="17" t="inlineStr">
        <is>
          <t>A6 요청하기</t>
        </is>
      </c>
      <c r="L40" s="3" t="inlineStr">
        <is>
          <t>반복된 장애요인 해소를 상위에 요청할까요?</t>
        </is>
      </c>
      <c r="M40" s="3" t="inlineStr">
        <is>
          <t>요청 기록 + 승인 흐름 (장애요인 해소 요청 이력 저장 위치 신설 필요)</t>
        </is>
      </c>
      <c r="N40" s="17" t="n">
        <v>3</v>
      </c>
      <c r="O40" s="17" t="n">
        <v>2</v>
      </c>
      <c r="P40" s="17" t="n">
        <v>3</v>
      </c>
      <c r="Q40" s="17">
        <f>N40+O40+P40</f>
        <v/>
      </c>
      <c r="R40" s="17" t="inlineStr">
        <is>
          <t>우리만 가능</t>
        </is>
      </c>
      <c r="S40" s="3" t="inlineStr">
        <is>
          <t>재알림 없음(1회)</t>
        </is>
      </c>
      <c r="T40" s="3" t="inlineStr">
        <is>
          <t>서로 다른 팀 3개 이상·3건 이상</t>
        </is>
      </c>
      <c r="U40" s="3" t="inlineStr">
        <is>
          <t>요청이 접수되거나 해당 장애요인 건수가 줄면 즉시</t>
        </is>
      </c>
      <c r="V40" s="3" t="inlineStr">
        <is>
          <t>장애요인 필드 채움률 70% 실측. 다만 자유서술이라 같은 항목으로 묶는 기준이 없음 — 장애요인 항목 코드 목록 신설 필요(규칙 판정의 전제). 억제: 장애요인 1건은 1차가 먼저 처리하고, 여러 팀에 걸쳐 반복될 때만 2차로 올린다</t>
        </is>
      </c>
    </row>
    <row r="41" ht="58" customHeight="1">
      <c r="A41" s="3" t="inlineStr">
        <is>
          <t>중간점검-HR경영진-01</t>
        </is>
      </c>
      <c r="B41" s="17" t="inlineStr">
        <is>
          <t>중간점검</t>
        </is>
      </c>
      <c r="C41" s="17" t="inlineStr">
        <is>
          <t>HR·경영진</t>
        </is>
      </c>
      <c r="D41" s="17" t="inlineStr">
        <is>
          <t>① 때가 됐다</t>
        </is>
      </c>
      <c r="E41" s="3" t="inlineStr">
        <is>
          <t>점검 기간이 절반 지났는데 41%예요</t>
        </is>
      </c>
      <c r="F41" s="3" t="inlineStr">
        <is>
          <t>중간점검 기간 50% 경과, 전사 점검 작성 인원 비율 41% (계획 대비 50% 이상이어야 함); 점검 0건 조직 7개 / 38개; 기준 시점 2026-07-16</t>
        </is>
      </c>
      <c r="G41" s="3" t="inlineStr">
        <is>
          <t>중간점검 기간이 절반 이상 지났고 전사 점검 참여율이 기간 경과율보다 10%p 이상 낮으며, 점검이 한 건도 없는 조직이 5개 이상일 때</t>
        </is>
      </c>
      <c r="H41" s="17" t="inlineStr">
        <is>
          <t>계획 대비</t>
        </is>
      </c>
      <c r="I41" s="3" t="inlineStr">
        <is>
          <t>중간점검 기간의 개시일·마감일; 점검 기록의 작성일과 작성자; 조직별 대상 인원수; 조직 목록</t>
        </is>
      </c>
      <c r="J41" s="3" t="inlineStr">
        <is>
          <t>조직별 점검 참여율; 점검 0건 조직 목록; 지난 분기 같은 시점 참여율</t>
        </is>
      </c>
      <c r="K41" s="17" t="inlineStr">
        <is>
          <t>A3 보내기</t>
        </is>
      </c>
      <c r="L41" s="3" t="inlineStr">
        <is>
          <t>점검이 비어 있는 조직 7곳에 참여 독려를 보낼까요?</t>
        </is>
      </c>
      <c r="M41" s="3" t="inlineStr">
        <is>
          <t>참여 독려 메시지 발송 기록(보냄·받음) + 조직별 참여율 갱신 — 알림 발송 원장 신설 필요</t>
        </is>
      </c>
      <c r="N41" s="17" t="n">
        <v>3</v>
      </c>
      <c r="O41" s="17" t="n">
        <v>3</v>
      </c>
      <c r="P41" s="17" t="n">
        <v>1</v>
      </c>
      <c r="Q41" s="17">
        <f>N41+O41+P41</f>
        <v/>
      </c>
      <c r="R41" s="17" t="inlineStr">
        <is>
          <t>기초</t>
        </is>
      </c>
      <c r="S41" s="3" t="inlineStr">
        <is>
          <t>3일</t>
        </is>
      </c>
      <c r="T41" s="3" t="inlineStr">
        <is>
          <t>조직·전사 합계 기준 점검 0건 조직 5개 이상 또는 전사 참여율이 기간 경과율보다 10%p 이상 낮을 때</t>
        </is>
      </c>
      <c r="U41" s="3" t="inlineStr">
        <is>
          <t>전사 참여율이 기간 경과율 수준으로 올라오거나 점검 기간이 끝나면</t>
        </is>
      </c>
      <c r="V41" s="3" t="inlineStr">
        <is>
          <t>중간점검 기간의 개시일·마감일을 담은 일정 마스터가 없어 신설 필요. 점검 360건에 작성일이 있어 참여율 집계는 가능. 조직장(1차)의 팀원별 점검 독려 카드가 먼저 떴다는 전제 아래 생성한다</t>
        </is>
      </c>
    </row>
    <row r="42" ht="58" customHeight="1">
      <c r="A42" s="3" t="inlineStr">
        <is>
          <t>중간점검-HR경영진-02</t>
        </is>
      </c>
      <c r="B42" s="17" t="inlineStr">
        <is>
          <t>중간점검</t>
        </is>
      </c>
      <c r="C42" s="17" t="inlineStr">
        <is>
          <t>HR·경영진</t>
        </is>
      </c>
      <c r="D42" s="17" t="inlineStr">
        <is>
          <t>③ 기준을 벗어났다</t>
        </is>
      </c>
      <c r="E42" s="3" t="inlineStr">
        <is>
          <t>두 조직이 계획보다 많이 뒤처져 있어요</t>
        </is>
      </c>
      <c r="F42" s="3" t="inlineStr">
        <is>
          <t>2개 조직 목표 평균 진척 34%, 기간 경과 68% (격차 34%p, 전사 격차 9%p); 대상 목표 11건; 기준 시점 2026-07-16</t>
        </is>
      </c>
      <c r="G42" s="3" t="inlineStr">
        <is>
          <t>한 조직의 목표 평균 진척률이 기간 경과율보다 30%p 이상 낮고, 대상 목표가 3건 이상이며 그 조직 인원의 20% 이상이 걸려 있을 때</t>
        </is>
      </c>
      <c r="H42" s="17" t="inlineStr">
        <is>
          <t>계획 대비</t>
        </is>
      </c>
      <c r="I42" s="3" t="inlineStr">
        <is>
          <t>목표·핵심결과의 진척률; 목표 기간의 개시일·마감일; 목표의 소속조직; 조직별 인원수</t>
        </is>
      </c>
      <c r="J42" s="3" t="inlineStr">
        <is>
          <t>조직별 진척과 기간 경과 비교; 진척이 멈춘 핵심결과 목록; 점검에 적힌 장애요인 유형 분포</t>
        </is>
      </c>
      <c r="K42" s="17" t="inlineStr">
        <is>
          <t>A3 보내기</t>
        </is>
      </c>
      <c r="L42" s="3" t="inlineStr">
        <is>
          <t>해당 조직장에게 진행 상황 점검과 계획 보완을 안내할까요?</t>
        </is>
      </c>
      <c r="M42" s="3" t="inlineStr">
        <is>
          <t>안내 메시지 발송 기록(보냄·받음) + 조직별 보완 계획 회신 상태 — 알림 발송 원장 신설 필요</t>
        </is>
      </c>
      <c r="N42" s="17" t="n">
        <v>3</v>
      </c>
      <c r="O42" s="17" t="n">
        <v>2</v>
      </c>
      <c r="P42" s="17" t="n">
        <v>2</v>
      </c>
      <c r="Q42" s="17">
        <f>N42+O42+P42</f>
        <v/>
      </c>
      <c r="R42" s="17" t="inlineStr">
        <is>
          <t>우리만 가능</t>
        </is>
      </c>
      <c r="S42" s="3" t="inlineStr">
        <is>
          <t>14일</t>
        </is>
      </c>
      <c r="T42" s="3" t="inlineStr">
        <is>
          <t>조직·전사 합계 기준 조직당 대상 목표 3건 이상이며 그 조직 인원의 20% 이상</t>
        </is>
      </c>
      <c r="U42" s="3" t="inlineStr">
        <is>
          <t>해당 조직의 진척-기간 격차가 30%p 아래로 줄어들거나 보완 계획이 등록되면</t>
        </is>
      </c>
      <c r="V42" s="3" t="inlineStr">
        <is>
          <t>같은 원인으로 경영진용 카드(중간점검-HR경영진-03)가 함께 뜬다 — HR=점검·계획 보완 안내, 경영진=인력·자원 재배분 검토 요청. 조직장(1차)이 팀원별 진척 카드를 먼저 받는다는 전제. 점검 360건 중 70%에 장애요인이 있어 초안 재료로 쓸 수 있다</t>
        </is>
      </c>
    </row>
    <row r="43" ht="58" customHeight="1">
      <c r="A43" s="3" t="inlineStr">
        <is>
          <t>중간점검-HR경영진-03</t>
        </is>
      </c>
      <c r="B43" s="17" t="inlineStr">
        <is>
          <t>중간점검</t>
        </is>
      </c>
      <c r="C43" s="17" t="inlineStr">
        <is>
          <t>HR·경영진</t>
        </is>
      </c>
      <c r="D43" s="17" t="inlineStr">
        <is>
          <t>③ 기준을 벗어났다</t>
        </is>
      </c>
      <c r="E43" s="3" t="inlineStr">
        <is>
          <t>한 본부의 진척이 두 달째 제자리예요</t>
        </is>
      </c>
      <c r="F43" s="3" t="inlineStr">
        <is>
          <t>본부 목표 평균 진척 34% (기간 경과 68%); 최근 8주 진척 증감 합계 +2%p; 점검에 적힌 장애요인 중 타 조직 협조 유형 9건; 기준 시점 2026-07-16</t>
        </is>
      </c>
      <c r="G43" s="3" t="inlineStr">
        <is>
          <t>한 본부의 목표 평균 진척률이 기간 경과율보다 30%p 이상 낮고, 최근 8주 진척 증감 합계가 5%p 이하이며 대상 목표가 5건 이상일 때</t>
        </is>
      </c>
      <c r="H43" s="17" t="inlineStr">
        <is>
          <t>계획 대비</t>
        </is>
      </c>
      <c r="I43" s="3" t="inlineStr">
        <is>
          <t>목표 진척률과 점검의 진척 증감; 점검의 장애요인; 목표의 소속조직과 본부 구분; 조직별 인원수; 목표의 전략과제 연결</t>
        </is>
      </c>
      <c r="J43" s="3" t="inlineStr">
        <is>
          <t>본부별 진척 정체 구간; 장애요인 유형별 건수; 걸려 있는 전략과제와 과제별 KPI 현재값; 조직별 인원 배치</t>
        </is>
      </c>
      <c r="K43" s="17" t="inlineStr">
        <is>
          <t>A6 요청하기</t>
        </is>
      </c>
      <c r="L43" s="3" t="inlineStr">
        <is>
          <t>이 본부에 인력·자원 재배분 검토를 요청할까요?</t>
        </is>
      </c>
      <c r="M43" s="3" t="inlineStr">
        <is>
          <t>인력·자원 재배분 검토 요청 기록 + 승인·회신 흐름 — 요청 처리 원장 신설 필요</t>
        </is>
      </c>
      <c r="N43" s="17" t="n">
        <v>3</v>
      </c>
      <c r="O43" s="17" t="n">
        <v>2</v>
      </c>
      <c r="P43" s="17" t="n">
        <v>3</v>
      </c>
      <c r="Q43" s="17">
        <f>N43+O43+P43</f>
        <v/>
      </c>
      <c r="R43" s="17" t="inlineStr">
        <is>
          <t>우리만 가능</t>
        </is>
      </c>
      <c r="S43" s="3" t="inlineStr">
        <is>
          <t>14일</t>
        </is>
      </c>
      <c r="T43" s="3" t="inlineStr">
        <is>
          <t>조직·전사 합계 기준 본부당 대상 목표 5건 이상이며 정체 상태 구성원 5명 이상</t>
        </is>
      </c>
      <c r="U43" s="3" t="inlineStr">
        <is>
          <t>요청 회신이 등록되거나 진척-기간 격차가 30%p 아래로 줄어들면</t>
        </is>
      </c>
      <c r="V43" s="3" t="inlineStr">
        <is>
          <t>HR용 카드(중간점검-HR경영진-02)와 같은 원인을 쓰고 행동만 다르다. 두 카드가 함께 뜨므로 한쪽이 해소되면 다른 쪽 문구를 갱신한다. 점검의 진척 증감·확신도·장애요인은 실제 있으나 장애요인 유형 분류 체계는 확인 필요</t>
        </is>
      </c>
    </row>
    <row r="44" ht="58" customHeight="1">
      <c r="A44" s="3" t="inlineStr">
        <is>
          <t>중간점검-HR경영진-04</t>
        </is>
      </c>
      <c r="B44" s="17" t="inlineStr">
        <is>
          <t>중간점검</t>
        </is>
      </c>
      <c r="C44" s="17" t="inlineStr">
        <is>
          <t>HR·경영진</t>
        </is>
      </c>
      <c r="D44" s="17" t="inlineStr">
        <is>
          <t>④ 서로 안 맞는다</t>
        </is>
      </c>
      <c r="E44" s="3" t="inlineStr">
        <is>
          <t>팀 목표는 오르는데 조직 목표는 그대로예요</t>
        </is>
      </c>
      <c r="F44" s="3" t="inlineStr">
        <is>
          <t>4주간 하위 핵심결과 평균 진척 +18%p, 연결된 조직목표 진척 +1%p; 대상 조직목표 5건 / 3개 조직; 기준 시점 2026-07-16</t>
        </is>
      </c>
      <c r="G44" s="3" t="inlineStr">
        <is>
          <t>하위 목표와 핵심결과의 진척은 4주 동안 15%p 이상 올랐는데 연결된 조직목표 진척은 5%p 미만 오른 조직이 3개 이상일 때</t>
        </is>
      </c>
      <c r="H44" s="17" t="inlineStr">
        <is>
          <t>본인 예전 기록</t>
        </is>
      </c>
      <c r="I44" s="3" t="inlineStr">
        <is>
          <t>목표 간 상하 연결 관계; 목표·핵심결과의 진척률 변화; 점검의 진척 증감과 작성일; 목표의 소속조직</t>
        </is>
      </c>
      <c r="J44" s="3" t="inlineStr">
        <is>
          <t>연결이 어긋난 목표 짝 목록; 조직목표의 측정 지표와 목표값; 하위 핵심결과의 직무 과업 참조</t>
        </is>
      </c>
      <c r="K44" s="17" t="inlineStr">
        <is>
          <t>A6 요청하기</t>
        </is>
      </c>
      <c r="L44" s="3" t="inlineStr">
        <is>
          <t>조직목표 지표와 하위 목표의 연결을 다시 맞추도록 요청할까요?</t>
        </is>
      </c>
      <c r="M44" s="3" t="inlineStr">
        <is>
          <t>목표 구조 재정비 요청 기록 + 조직별 반영 상태와 수정 이력 — 요청 처리 원장 신설 필요</t>
        </is>
      </c>
      <c r="N44" s="17" t="n">
        <v>3</v>
      </c>
      <c r="O44" s="17" t="n">
        <v>2</v>
      </c>
      <c r="P44" s="17" t="n">
        <v>3</v>
      </c>
      <c r="Q44" s="17">
        <f>N44+O44+P44</f>
        <v/>
      </c>
      <c r="R44" s="17" t="inlineStr">
        <is>
          <t>우리만 가능</t>
        </is>
      </c>
      <c r="S44" s="3" t="inlineStr">
        <is>
          <t>14일</t>
        </is>
      </c>
      <c r="T44" s="3" t="inlineStr">
        <is>
          <t>조직·전사 합계 기준 어긋난 조직 3개 이상 또는 대상 조직목표 5건 이상</t>
        </is>
      </c>
      <c r="U44" s="3" t="inlineStr">
        <is>
          <t>조직목표 지표가 수정되거나 연결이 다시 맞춰지면</t>
        </is>
      </c>
      <c r="V44" s="3" t="inlineStr">
        <is>
          <t>목표 40건 중 개인 목표가 1건뿐이고 목표 소유자와 점검 작성자 일치율이 5.6%여서 조직목표-하위목표 진척 비교의 모수 정의 확인 필요. 상위목표 연결 95%·핵심결과의 직무 과업 참조 100%라 연결 판정 자체는 가능</t>
        </is>
      </c>
    </row>
    <row r="45" ht="58" customHeight="1">
      <c r="A45" s="3" t="inlineStr">
        <is>
          <t>평가-조직원-01</t>
        </is>
      </c>
      <c r="B45" s="17" t="inlineStr">
        <is>
          <t>평가</t>
        </is>
      </c>
      <c r="C45" s="17" t="inlineStr">
        <is>
          <t>조직원</t>
        </is>
      </c>
      <c r="D45" s="17" t="inlineStr">
        <is>
          <t>① 때가 됐다</t>
        </is>
      </c>
      <c r="E45" s="3" t="inlineStr">
        <is>
          <t>자기평가 마감이 5일 남았어요</t>
        </is>
      </c>
      <c r="F45" s="3" t="inlineStr">
        <is>
          <t>자기평가 제출 기한 2026-08-10까지 5일 남음; 내 자기평가 제출 기록 없음 (FY2026-2Q 기준)</t>
        </is>
      </c>
      <c r="G45" s="3" t="inlineStr">
        <is>
          <t>자기평가 마감일까지 5일 이하로 남았고, 내 자기평가가 제출된 기록이 없을 때</t>
        </is>
      </c>
      <c r="H45" s="17" t="inlineStr">
        <is>
          <t>제도 기준값</t>
        </is>
      </c>
      <c r="I45" s="3" t="inlineStr">
        <is>
          <t>평가 기간 일정의 자기평가 마감일; 내 자기평가 제출 상태; 오늘 날짜</t>
        </is>
      </c>
      <c r="J45" s="3" t="inlineStr">
        <is>
          <t>평가 기간 안에 내가 쓴 점검 기록; 핵심결과별 달성 수치; 목표별 가중치와 난이도 근거</t>
        </is>
      </c>
      <c r="K45" s="17" t="inlineStr">
        <is>
          <t>A1 쓰기</t>
        </is>
      </c>
      <c r="L45" s="3" t="inlineStr">
        <is>
          <t>점검 기록으로 자기평가 초안을 만들까요?</t>
        </is>
      </c>
      <c r="M45" s="3" t="inlineStr">
        <is>
          <t>자기평가 기록 신규 생성 (저장 위치 신설 필요)</t>
        </is>
      </c>
      <c r="N45" s="17" t="n">
        <v>3</v>
      </c>
      <c r="O45" s="17" t="n">
        <v>3</v>
      </c>
      <c r="P45" s="17" t="n">
        <v>1</v>
      </c>
      <c r="Q45" s="17">
        <f>N45+O45+P45</f>
        <v/>
      </c>
      <c r="R45" s="17" t="inlineStr">
        <is>
          <t>기초</t>
        </is>
      </c>
      <c r="S45" s="3" t="inlineStr">
        <is>
          <t>3일</t>
        </is>
      </c>
      <c r="T45" s="3" t="inlineStr">
        <is>
          <t>해당 없음</t>
        </is>
      </c>
      <c r="U45" s="3" t="inlineStr">
        <is>
          <t>자기평가를 제출하면 즉시</t>
        </is>
      </c>
      <c r="V45" s="3" t="inlineStr">
        <is>
          <t>자기평가가 현재 임시 저장(탭 종료 시 소멸)뿐이라 제출 기록 저장 위치 신설이 전제. 평가 기간 일정 마스터도 없어 마감일 원천 확인 필요</t>
        </is>
      </c>
    </row>
    <row r="46" ht="58" customHeight="1">
      <c r="A46" s="3" t="inlineStr">
        <is>
          <t>평가-조직원-02</t>
        </is>
      </c>
      <c r="B46" s="17" t="inlineStr">
        <is>
          <t>평가</t>
        </is>
      </c>
      <c r="C46" s="17" t="inlineStr">
        <is>
          <t>조직원</t>
        </is>
      </c>
      <c r="D46" s="17" t="inlineStr">
        <is>
          <t>② 비어 있다 / 멈췄다</t>
        </is>
      </c>
      <c r="E46" s="3" t="inlineStr">
        <is>
          <t>평가에 쓸 점검 기록이 없어요</t>
        </is>
      </c>
      <c r="F46" s="3" t="inlineStr">
        <is>
          <t>평가 대상 기간(FY2026-2Q) 안에 내가 쓴 점검 1건 (팀 평균 6건)</t>
        </is>
      </c>
      <c r="G46" s="3" t="inlineStr">
        <is>
          <t>평가 기간이 절반 넘게 지났는데 그 기간에 내가 쓴 점검이 2건 이하일 때</t>
        </is>
      </c>
      <c r="H46" s="17" t="inlineStr">
        <is>
          <t>팀 평균</t>
        </is>
      </c>
      <c r="I46" s="3" t="inlineStr">
        <is>
          <t>평가 대상 기간의 시작일과 종료일; 기간 안에 내가 쓴 점검 건수; 같은 팀의 1인당 점검 건수</t>
        </is>
      </c>
      <c r="J46" s="3" t="inlineStr">
        <is>
          <t>핵심결과별 목표값과 현재값; 진척 변동 기록; 직무 과업별 내가 맡은 내용</t>
        </is>
      </c>
      <c r="K46" s="17" t="inlineStr">
        <is>
          <t>A1 쓰기</t>
        </is>
      </c>
      <c r="L46" s="3" t="inlineStr">
        <is>
          <t>남은 기간 점검부터 채워 볼까요?</t>
        </is>
      </c>
      <c r="M46" s="3" t="inlineStr">
        <is>
          <t>진행 점검 기록 신규 생성</t>
        </is>
      </c>
      <c r="N46" s="17" t="n">
        <v>3</v>
      </c>
      <c r="O46" s="17" t="n">
        <v>2</v>
      </c>
      <c r="P46" s="17" t="n">
        <v>2</v>
      </c>
      <c r="Q46" s="17">
        <f>N46+O46+P46</f>
        <v/>
      </c>
      <c r="R46" s="17" t="inlineStr">
        <is>
          <t>우리만 가능</t>
        </is>
      </c>
      <c r="S46" s="3" t="inlineStr">
        <is>
          <t>7일</t>
        </is>
      </c>
      <c r="T46" s="3" t="inlineStr">
        <is>
          <t>해당 없음</t>
        </is>
      </c>
      <c r="U46" s="3" t="inlineStr">
        <is>
          <t>점검을 2건 이상 저장하면 즉시</t>
        </is>
      </c>
      <c r="V46" s="3" t="inlineStr">
        <is>
          <t>점검 건수·작성자·작성일은 실측 확인(360건). 평가 기간의 시작·종료 날짜는 일정 마스터 확인 필요. 중간점검 단계의 ②와 원인이 겹치므로 평가 기간 개시 이후에만 이 신호를 쓰고 그 전에는 중간점검 쪽으로 넘김</t>
        </is>
      </c>
    </row>
    <row r="47" ht="58" customHeight="1">
      <c r="A47" s="3" t="inlineStr">
        <is>
          <t>평가-조직원-03</t>
        </is>
      </c>
      <c r="B47" s="17" t="inlineStr">
        <is>
          <t>평가</t>
        </is>
      </c>
      <c r="C47" s="17" t="inlineStr">
        <is>
          <t>조직원</t>
        </is>
      </c>
      <c r="D47" s="17" t="inlineStr">
        <is>
          <t>③ 기준을 벗어났다</t>
        </is>
      </c>
      <c r="E47" s="3" t="inlineStr">
        <is>
          <t>내 종합점수가 팀 평균보다 낮아요</t>
        </is>
      </c>
      <c r="F47" s="3" t="inlineStr">
        <is>
          <t>종합점수 72점 (팀 평균 81점), 등급 확정 전 시점</t>
        </is>
      </c>
      <c r="G47" s="3" t="inlineStr">
        <is>
          <t>-</t>
        </is>
      </c>
      <c r="H47" s="17" t="inlineStr">
        <is>
          <t>없음</t>
        </is>
      </c>
      <c r="I47" s="3" t="inlineStr">
        <is>
          <t>-</t>
        </is>
      </c>
      <c r="J47" s="3" t="inlineStr">
        <is>
          <t>-</t>
        </is>
      </c>
      <c r="K47" s="17" t="inlineStr">
        <is>
          <t>-</t>
        </is>
      </c>
      <c r="L47" s="3" t="inlineStr">
        <is>
          <t>-</t>
        </is>
      </c>
      <c r="M47" s="3" t="inlineStr">
        <is>
          <t>-</t>
        </is>
      </c>
      <c r="N47" s="17" t="n">
        <v>1</v>
      </c>
      <c r="O47" s="17" t="n">
        <v>2</v>
      </c>
      <c r="P47" s="17" t="n">
        <v>2</v>
      </c>
      <c r="Q47" s="17">
        <f>N47+O47+P47</f>
        <v/>
      </c>
      <c r="R47" s="17" t="inlineStr">
        <is>
          <t>제외</t>
        </is>
      </c>
      <c r="S47" s="3" t="inlineStr">
        <is>
          <t>-</t>
        </is>
      </c>
      <c r="T47" s="3" t="inlineStr">
        <is>
          <t>-</t>
        </is>
      </c>
      <c r="U47" s="3" t="inlineStr">
        <is>
          <t>-</t>
        </is>
      </c>
      <c r="V47" s="3" t="inlineStr">
        <is>
          <t>훑은 흔적으로만 남김. 확정 전 점수와 타인 평균 노출은 제도상 불가하고, 점수를 두고 본인이 할 수 있는 행동이 없어 제외(신호 3조건 중 ② 불충족). 등급 확정 후 결과 안내는 알림이 아니라 화면 조회로 처리. 등급 분포 이탈은 HR·경영진 칸에서 다룸</t>
        </is>
      </c>
    </row>
    <row r="48" ht="58" customHeight="1">
      <c r="A48" s="3" t="inlineStr">
        <is>
          <t>평가-조직원-04</t>
        </is>
      </c>
      <c r="B48" s="17" t="inlineStr">
        <is>
          <t>평가</t>
        </is>
      </c>
      <c r="C48" s="17" t="inlineStr">
        <is>
          <t>조직원</t>
        </is>
      </c>
      <c r="D48" s="17" t="inlineStr">
        <is>
          <t>④ 서로 안 맞는다</t>
        </is>
      </c>
      <c r="E48" s="3" t="inlineStr">
        <is>
          <t>자기평가와 달성 수치가 서로 달라요</t>
        </is>
      </c>
      <c r="F48" s="3" t="inlineStr">
        <is>
          <t>자기평가에서 초과 달성으로 적은 핵심결과 KR-0233의 진척률 54% (계획 대비 30%포인트 이상 차이)</t>
        </is>
      </c>
      <c r="G48" s="3" t="inlineStr">
        <is>
          <t>자기평가에 적은 달성 수준이 같은 핵심결과의 실제 진척률과 30%포인트 이상 차이 날 때</t>
        </is>
      </c>
      <c r="H48" s="17" t="inlineStr">
        <is>
          <t>계획 대비</t>
        </is>
      </c>
      <c r="I48" s="3" t="inlineStr">
        <is>
          <t>자기평가에 적은 항목별 달성 수준; 핵심결과의 목표값·현재값·진척률; 핵심결과 가중치</t>
        </is>
      </c>
      <c r="J48" s="3" t="inlineStr">
        <is>
          <t>핵심결과별 진척 기록과 점검 코멘트; 장애요인 기록; 난이도와 난이도 근거</t>
        </is>
      </c>
      <c r="K48" s="17" t="inlineStr">
        <is>
          <t>A2 고치기·맞추기</t>
        </is>
      </c>
      <c r="L48" s="3" t="inlineStr">
        <is>
          <t>수치와 맞게 자기평가를 다듬을까요?</t>
        </is>
      </c>
      <c r="M48" s="3" t="inlineStr">
        <is>
          <t>자기평가 기록 수정 + 수정 이력 (저장 위치 신설 필요)</t>
        </is>
      </c>
      <c r="N48" s="17" t="n">
        <v>3</v>
      </c>
      <c r="O48" s="17" t="n">
        <v>2</v>
      </c>
      <c r="P48" s="17" t="n">
        <v>3</v>
      </c>
      <c r="Q48" s="17">
        <f>N48+O48+P48</f>
        <v/>
      </c>
      <c r="R48" s="17" t="inlineStr">
        <is>
          <t>우리만 가능</t>
        </is>
      </c>
      <c r="S48" s="3" t="inlineStr">
        <is>
          <t>7일</t>
        </is>
      </c>
      <c r="T48" s="3" t="inlineStr">
        <is>
          <t>해당 없음</t>
        </is>
      </c>
      <c r="U48" s="3" t="inlineStr">
        <is>
          <t>자기평가를 다시 저장하면 즉시</t>
        </is>
      </c>
      <c r="V48" s="3" t="inlineStr">
        <is>
          <t>핵심결과 진척·가중치·난이도 근거(98.6%)는 실측 확인. 자기평가 제출 저장이 임시 저장뿐이라 비교할 원천이 없음 — 자기평가 저장 위치 신설이 전제. 같은 불일치를 조직장(1차)도 볼 수 있으므로 본인이 먼저 고칠 기회를 갖도록 1차 알림은 자기평가 제출 확정 이후로 미룸</t>
        </is>
      </c>
    </row>
    <row r="49" ht="58" customHeight="1">
      <c r="A49" s="3" t="inlineStr">
        <is>
          <t>평가-조직원-05</t>
        </is>
      </c>
      <c r="B49" s="17" t="inlineStr">
        <is>
          <t>평가</t>
        </is>
      </c>
      <c r="C49" s="17" t="inlineStr">
        <is>
          <t>조직원</t>
        </is>
      </c>
      <c r="D49" s="17" t="inlineStr">
        <is>
          <t>⑤ 무슨 일이 생겼다</t>
        </is>
      </c>
      <c r="E49" s="3" t="inlineStr">
        <is>
          <t>소속이 바뀌어 평가자가 달라졌어요</t>
        </is>
      </c>
      <c r="F49" s="3" t="inlineStr">
        <is>
          <t>2026-07-01 조직 이동(영업1팀→사업개발팀); 평가 기간 중 1차 평가자 변경; 이전 조직 재직 기간이 평가 기간의 67%</t>
        </is>
      </c>
      <c r="G49" s="3" t="inlineStr">
        <is>
          <t>평가 기간이 끝나기 전에 소속 조직이 바뀌어 1차 평가자가 달라졌고, 이전 조직에서 일한 기간이 평가 기간의 30% 이상일 때</t>
        </is>
      </c>
      <c r="H49" s="17" t="inlineStr">
        <is>
          <t>없음</t>
        </is>
      </c>
      <c r="I49" s="3" t="inlineStr">
        <is>
          <t>발령·조직 이동 이력의 이동일; 이동 전·후 조직의 조직장 사번; 평가 기간의 시작일과 종료일</t>
        </is>
      </c>
      <c r="J49" s="3" t="inlineStr">
        <is>
          <t>이전 조직에서 쓴 점검과 달성 수치; 이전 조직 목표의 진척; 기간별로 맡았던 과업</t>
        </is>
      </c>
      <c r="K49" s="17" t="inlineStr">
        <is>
          <t>A3 보내기</t>
        </is>
      </c>
      <c r="L49" s="3" t="inlineStr">
        <is>
          <t>새 평가자에게 이전 기간 성과 요약을 보낼까요?</t>
        </is>
      </c>
      <c r="M49" s="3" t="inlineStr">
        <is>
          <t>메시지 기록 + 보냄·받음 기록, 평가 참고 자료로 첨부</t>
        </is>
      </c>
      <c r="N49" s="17" t="n">
        <v>3</v>
      </c>
      <c r="O49" s="17" t="n">
        <v>1</v>
      </c>
      <c r="P49" s="17" t="n">
        <v>3</v>
      </c>
      <c r="Q49" s="17">
        <f>N49+O49+P49</f>
        <v/>
      </c>
      <c r="R49" s="17" t="inlineStr">
        <is>
          <t>우리만 가능</t>
        </is>
      </c>
      <c r="S49" s="3" t="inlineStr">
        <is>
          <t>재알림 없음(1회)</t>
        </is>
      </c>
      <c r="T49" s="3" t="inlineStr">
        <is>
          <t>해당 없음</t>
        </is>
      </c>
      <c r="U49" s="3" t="inlineStr">
        <is>
          <t>요약을 보내면 즉시</t>
        </is>
      </c>
      <c r="V49" s="3" t="inlineStr">
        <is>
          <t>상위자 사번은 99.5% 실측이나, 평가 레코드에 1차·2차 평가자 매핑과 제출 시각이 없어 '평가자 변경' 판정 불가 — 평가자 매핑 신설이 전제. 발령 이력 채움률 0.5%도 함께 확인 필요. 조직장(1차)에게도 '기간 중 합류한 팀원' 알림이 필요하므로 짝으로 설계</t>
        </is>
      </c>
    </row>
    <row r="50" ht="58" customHeight="1">
      <c r="A50" s="3" t="inlineStr">
        <is>
          <t>평가-조직장1차-01</t>
        </is>
      </c>
      <c r="B50" s="17" t="inlineStr">
        <is>
          <t>평가</t>
        </is>
      </c>
      <c r="C50" s="17" t="inlineStr">
        <is>
          <t>조직장(1차)</t>
        </is>
      </c>
      <c r="D50" s="17" t="inlineStr">
        <is>
          <t>① 때가 됐다</t>
        </is>
      </c>
      <c r="E50" s="3" t="inlineStr">
        <is>
          <t>팀원 평가 마감이 사흘 남았어요</t>
        </is>
      </c>
      <c r="F50" s="3" t="inlineStr">
        <is>
          <t>1차 평가 마감 3일 전, 이 팀원 평가 미작성 (직속 팀원 5명 중 3명 작성 완료)</t>
        </is>
      </c>
      <c r="G50" s="3" t="inlineStr">
        <is>
          <t>1차 평가 마감일까지 3일 이하로 남았고, 그 팀원의 1차 평가가 아직 작성되지 않았을 때</t>
        </is>
      </c>
      <c r="H50" s="17" t="inlineStr">
        <is>
          <t>제도 기준값</t>
        </is>
      </c>
      <c r="I50" s="3" t="inlineStr">
        <is>
          <t>평가 기간의 마감일; 1차 평가자별 담당 팀원 명단; 팀원별 1차 평가 작성 여부</t>
        </is>
      </c>
      <c r="J50" s="3" t="inlineStr">
        <is>
          <t>그 팀원 목표·핵심결과의 가중 달성률; 이번 기간 점검 문장과 장애요인; 피어 리뷰 강점·개발 코멘트; 3요소 원점수</t>
        </is>
      </c>
      <c r="K50" s="17" t="inlineStr">
        <is>
          <t>A1 쓰기</t>
        </is>
      </c>
      <c r="L50" s="3" t="inlineStr">
        <is>
          <t>이 팀원 평가 초안을 만들어 드릴까요?</t>
        </is>
      </c>
      <c r="M50" s="3" t="inlineStr">
        <is>
          <t>그 팀원의 1차 평가 기록 신규 생성(초안 상태) + 근거 요약문 저장</t>
        </is>
      </c>
      <c r="N50" s="17" t="n">
        <v>3</v>
      </c>
      <c r="O50" s="17" t="n">
        <v>3</v>
      </c>
      <c r="P50" s="17" t="n">
        <v>1</v>
      </c>
      <c r="Q50" s="17">
        <f>N50+O50+P50</f>
        <v/>
      </c>
      <c r="R50" s="17" t="inlineStr">
        <is>
          <t>기초</t>
        </is>
      </c>
      <c r="S50" s="3" t="inlineStr">
        <is>
          <t>3일</t>
        </is>
      </c>
      <c r="T50" s="3" t="inlineStr">
        <is>
          <t>해당 없음</t>
        </is>
      </c>
      <c r="U50" s="3" t="inlineStr">
        <is>
          <t>그 팀원의 1차 평가를 저장하면 즉시</t>
        </is>
      </c>
      <c r="V50" s="3" t="inlineStr">
        <is>
          <t>평가자 매핑(1차·2차)과 제출 시각·제출 상태가 평가 레코드에 없음 — 이 신호와 조직장(2차) 신호 전체의 전제이므로 신설 확인 필요. 평가 기간 일정 마스터도 없음</t>
        </is>
      </c>
    </row>
    <row r="51" ht="58" customHeight="1">
      <c r="A51" s="3" t="inlineStr">
        <is>
          <t>평가-조직장1차-02</t>
        </is>
      </c>
      <c r="B51" s="17" t="inlineStr">
        <is>
          <t>평가</t>
        </is>
      </c>
      <c r="C51" s="17" t="inlineStr">
        <is>
          <t>조직장(1차)</t>
        </is>
      </c>
      <c r="D51" s="17" t="inlineStr">
        <is>
          <t>③ 기준을 벗어났다</t>
        </is>
      </c>
      <c r="E51" s="3" t="inlineStr">
        <is>
          <t>이 팀원 평가에 쓸 근거가 적어요</t>
        </is>
      </c>
      <c r="F51" s="3" t="inlineStr">
        <is>
          <t>이 팀원 이번 기간 점검 2건 (같은 팀 평균 9건), 피어 리뷰 0건, 1차 평가 마감 10일 전</t>
        </is>
      </c>
      <c r="G51" s="3" t="inlineStr">
        <is>
          <t>1차 평가 마감 14일 전 시점에 그 팀원의 이번 기간 점검이 3건 이하이고 같은 팀 평균의 절반에 못 미칠 때</t>
        </is>
      </c>
      <c r="H51" s="17" t="inlineStr">
        <is>
          <t>팀 평균</t>
        </is>
      </c>
      <c r="I51" s="3" t="inlineStr">
        <is>
          <t>팀원별 이번 기간 점검 건수; 같은 팀 점검 건수 평균; 그 팀원 피어 리뷰 건수; 1차 평가 마감일</t>
        </is>
      </c>
      <c r="J51" s="3" t="inlineStr">
        <is>
          <t>그 팀원 핵심결과의 목표값·현재값; 남아 있는 점검 문장; 직무프로파일 과업 대비 진행한 항목</t>
        </is>
      </c>
      <c r="K51" s="17" t="inlineStr">
        <is>
          <t>A3 보내기</t>
        </is>
      </c>
      <c r="L51" s="3" t="inlineStr">
        <is>
          <t>남은 기간 기록을 채워 달라고 보낼까요?</t>
        </is>
      </c>
      <c r="M51" s="3" t="inlineStr">
        <is>
          <t>메시지 기록 + 보냄·받음 기록 생성 (알림·메시지 발송·열람 원장 저장 위치 신설 필요)</t>
        </is>
      </c>
      <c r="N51" s="17" t="n">
        <v>3</v>
      </c>
      <c r="O51" s="17" t="n">
        <v>2</v>
      </c>
      <c r="P51" s="17" t="n">
        <v>2</v>
      </c>
      <c r="Q51" s="17">
        <f>N51+O51+P51</f>
        <v/>
      </c>
      <c r="R51" s="17" t="inlineStr">
        <is>
          <t>우리만 가능</t>
        </is>
      </c>
      <c r="S51" s="3" t="inlineStr">
        <is>
          <t>7일</t>
        </is>
      </c>
      <c r="T51" s="3" t="inlineStr">
        <is>
          <t>해당 없음</t>
        </is>
      </c>
      <c r="U51" s="3" t="inlineStr">
        <is>
          <t>그 팀원의 새 점검이 1건 저장되면 즉시</t>
        </is>
      </c>
      <c r="V51" s="3" t="inlineStr">
        <is>
          <t>점검 건수는 실측 확인됨. 피어 리뷰는 13명 한정이어서 0건이 흔하므로 판정은 점검 건수만으로 할지 확인 필요</t>
        </is>
      </c>
    </row>
    <row r="52" ht="58" customHeight="1">
      <c r="A52" s="3" t="inlineStr">
        <is>
          <t>평가-조직장1차-03</t>
        </is>
      </c>
      <c r="B52" s="17" t="inlineStr">
        <is>
          <t>평가</t>
        </is>
      </c>
      <c r="C52" s="17" t="inlineStr">
        <is>
          <t>조직장(1차)</t>
        </is>
      </c>
      <c r="D52" s="17" t="inlineStr">
        <is>
          <t>④ 서로 안 맞는다</t>
        </is>
      </c>
      <c r="E52" s="3" t="inlineStr">
        <is>
          <t>준 등급과 달성률이 서로 안 맞아요</t>
        </is>
      </c>
      <c r="F52" s="3" t="inlineStr">
        <is>
          <t>이 팀원 1차 등급 A, 가중 달성률 52% (같은 팀 A등급 평균 달성률 84%), 근거 요약문에 그 차이를 적은 문장 없음</t>
        </is>
      </c>
      <c r="G52" s="3" t="inlineStr">
        <is>
          <t>그 팀원에게 준 등급이 같은 팀 같은 등급의 평균 달성률보다 20%p 이상 낮은데 근거 요약문에 그 이유가 적혀 있지 않을 때</t>
        </is>
      </c>
      <c r="H52" s="17" t="inlineStr">
        <is>
          <t>팀 평균</t>
        </is>
      </c>
      <c r="I52" s="3" t="inlineStr">
        <is>
          <t>1차 평가 등급과 종합점수; 목표·핵심결과의 가중 달성률; 같은 팀 등급별 달성률 분포; 근거 요약문 본문</t>
        </is>
      </c>
      <c r="J52" s="3" t="inlineStr">
        <is>
          <t>그 팀원 점검 문장과 장애요인; 피어 리뷰 강점·개발 코멘트; 3요소 정규화점수; 핵심결과 난이도 근거</t>
        </is>
      </c>
      <c r="K52" s="17" t="inlineStr">
        <is>
          <t>A2 고치기·맞추기</t>
        </is>
      </c>
      <c r="L52" s="3" t="inlineStr">
        <is>
          <t>근거를 보태서 고칠까요?</t>
        </is>
      </c>
      <c r="M52" s="3" t="inlineStr">
        <is>
          <t>그 팀원 1차 평가의 근거 요약문·등급 수정 + 수정 이력 기록 (평가 수정 이력 저장 위치 신설 필요)</t>
        </is>
      </c>
      <c r="N52" s="17" t="n">
        <v>3</v>
      </c>
      <c r="O52" s="17" t="n">
        <v>2</v>
      </c>
      <c r="P52" s="17" t="n">
        <v>3</v>
      </c>
      <c r="Q52" s="17">
        <f>N52+O52+P52</f>
        <v/>
      </c>
      <c r="R52" s="17" t="inlineStr">
        <is>
          <t>우리만 가능</t>
        </is>
      </c>
      <c r="S52" s="3" t="inlineStr">
        <is>
          <t>7일</t>
        </is>
      </c>
      <c r="T52" s="3" t="inlineStr">
        <is>
          <t>해당 없음</t>
        </is>
      </c>
      <c r="U52" s="3" t="inlineStr">
        <is>
          <t>근거 요약문이나 등급을 저장하면 즉시</t>
        </is>
      </c>
      <c r="V52" s="3" t="inlineStr">
        <is>
          <t>등급·종합점수·근거 요약문·가중치·난이도는 실측 확인됨. 근거 요약문에 이유가 적혀 있는지를 규칙만으로 가리기 어려워 '적혀 있지 않음'을 무엇으로 볼지 확인 필요(난이도 근거 인용 여부 등). 평가 수정 이력 저장 위치 없음. 같은 원인의 조직장(2차) 카드보다 7일 먼저 1차에 띄운다</t>
        </is>
      </c>
    </row>
    <row r="53" ht="58" customHeight="1">
      <c r="A53" s="3" t="inlineStr">
        <is>
          <t>평가-조직장1차-04</t>
        </is>
      </c>
      <c r="B53" s="17" t="inlineStr">
        <is>
          <t>평가</t>
        </is>
      </c>
      <c r="C53" s="17" t="inlineStr">
        <is>
          <t>조직장(1차)</t>
        </is>
      </c>
      <c r="D53" s="17" t="inlineStr">
        <is>
          <t>⑤ 무슨 일이 생겼다</t>
        </is>
      </c>
      <c r="E53" s="3" t="inlineStr">
        <is>
          <t>중간에 온 팀원 근거가 비어 있어요</t>
        </is>
      </c>
      <c r="F53" s="3" t="inlineStr">
        <is>
          <t>이 팀원 평가 대상 기간 6개월 중 4개월이 이전 조직 소속(발령일 2026-05-01), 우리 팀에서 쓴 점검 1건</t>
        </is>
      </c>
      <c r="G53" s="3" t="inlineStr">
        <is>
          <t>그 팀원이 평가 대상 기간 중에 우리 팀으로 옮겨 왔고, 옮겨 오기 전 기간이 평가 대상 기간의 50% 이상일 때</t>
        </is>
      </c>
      <c r="H53" s="17" t="inlineStr">
        <is>
          <t>없음</t>
        </is>
      </c>
      <c r="I53" s="3" t="inlineStr">
        <is>
          <t>발령·소속조직 변경 이력과 변경일; 평가 대상 기간; 이전 조직의 조직장 사번; 점검이 작성된 시점의 소속조직</t>
        </is>
      </c>
      <c r="J53" s="3" t="inlineStr">
        <is>
          <t>이전 조직에서 쓴 목표·점검 문장; 이전 기간의 진척률과 확신도; 과거 평가 이력의 등급·점수</t>
        </is>
      </c>
      <c r="K53" s="17" t="inlineStr">
        <is>
          <t>A3 보내기</t>
        </is>
      </c>
      <c r="L53" s="3" t="inlineStr">
        <is>
          <t>이전 조직장에게 근거를 요청할까요?</t>
        </is>
      </c>
      <c r="M53" s="3" t="inlineStr">
        <is>
          <t>요청 메시지 기록 + 받은 근거를 그 팀원 평가에 붙여 두기 (평가에 외부 근거를 붙이는 저장 위치 신설 필요)</t>
        </is>
      </c>
      <c r="N53" s="17" t="n">
        <v>3</v>
      </c>
      <c r="O53" s="17" t="n">
        <v>1</v>
      </c>
      <c r="P53" s="17" t="n">
        <v>3</v>
      </c>
      <c r="Q53" s="17">
        <f>N53+O53+P53</f>
        <v/>
      </c>
      <c r="R53" s="17" t="inlineStr">
        <is>
          <t>우리만 가능</t>
        </is>
      </c>
      <c r="S53" s="3" t="inlineStr">
        <is>
          <t>재알림 없음(1회)</t>
        </is>
      </c>
      <c r="T53" s="3" t="inlineStr">
        <is>
          <t>해당 없음</t>
        </is>
      </c>
      <c r="U53" s="3" t="inlineStr">
        <is>
          <t>이전 조직장의 답이 도착하거나 조직장이 요청을 접으면 즉시</t>
        </is>
      </c>
      <c r="V53" s="3" t="inlineStr">
        <is>
          <t>발령·직무이동 이력 채움률 0.5% — 휴넬·JaDE 발령 원천 연동이 전제. 이전 조직의 조직장 사번은 조직 38개 데이터에 있어 특정 가능. 받은 근거를 평가에 붙여 두는 저장 위치가 없음</t>
        </is>
      </c>
    </row>
    <row r="54" ht="58" customHeight="1">
      <c r="A54" s="3" t="inlineStr">
        <is>
          <t>평가-조직장2차-01</t>
        </is>
      </c>
      <c r="B54" s="17" t="inlineStr">
        <is>
          <t>평가</t>
        </is>
      </c>
      <c r="C54" s="17" t="inlineStr">
        <is>
          <t>조직장(2차)</t>
        </is>
      </c>
      <c r="D54" s="17" t="inlineStr">
        <is>
          <t>① 때가 됐다</t>
        </is>
      </c>
      <c r="E54" s="3" t="inlineStr">
        <is>
          <t>1차 평가가 두 팀에서 아직 안 올라왔어요</t>
        </is>
      </c>
      <c r="F54" s="3" t="inlineStr">
        <is>
          <t>1차 평가 마감 2일 전, 하위 8개 팀 중 2개 팀 제출률 0% (내 조직 평균 74%)</t>
        </is>
      </c>
      <c r="G54" s="3" t="inlineStr">
        <is>
          <t>1차 평가 마감일이 3일 이내로 남았고, 하위 팀 중 평가 제출률이 50% 미만인 팀이 1개 이상일 때</t>
        </is>
      </c>
      <c r="H54" s="17" t="inlineStr">
        <is>
          <t>제도 기준값</t>
        </is>
      </c>
      <c r="I54" s="3" t="inlineStr">
        <is>
          <t>평가 기간의 마감일; 1차 평가자별 담당 팀원 명단; 평가 레코드의 제출 상태와 제출 시각; 팀별 제출률</t>
        </is>
      </c>
      <c r="J54" s="3" t="inlineStr">
        <is>
          <t>팀별 제출률 표; 마감일까지 남은 일수; 미제출 팀원 수; 메시지를 받을 1차 평가자 명단</t>
        </is>
      </c>
      <c r="K54" s="17" t="inlineStr">
        <is>
          <t>A3 보내기</t>
        </is>
      </c>
      <c r="L54" s="3" t="inlineStr">
        <is>
          <t>제출이 안 된 두 팀장에게 마감 안내를 보낼까요?</t>
        </is>
      </c>
      <c r="M54" s="3" t="inlineStr">
        <is>
          <t>메시지 기록 + 보냄·받음 기록 (알림 원장에 발송 결과 저장 — 서버 원장 신설 필요)</t>
        </is>
      </c>
      <c r="N54" s="17" t="n">
        <v>3</v>
      </c>
      <c r="O54" s="17" t="n">
        <v>3</v>
      </c>
      <c r="P54" s="17" t="n">
        <v>1</v>
      </c>
      <c r="Q54" s="17">
        <f>N54+O54+P54</f>
        <v/>
      </c>
      <c r="R54" s="17" t="inlineStr">
        <is>
          <t>기초</t>
        </is>
      </c>
      <c r="S54" s="3" t="inlineStr">
        <is>
          <t>3일</t>
        </is>
      </c>
      <c r="T54" s="3" t="inlineStr">
        <is>
          <t>3건 이상 또는 팀의 30% 이상</t>
        </is>
      </c>
      <c r="U54" s="3" t="inlineStr">
        <is>
          <t>해당 팀 제출률이 100%가 되면 즉시</t>
        </is>
      </c>
      <c r="V54" s="3" t="inlineStr">
        <is>
          <t>평가자 매핑(1차·2차)과 제출 상태·제출 시각이 평가 레코드에 없음 — 조직장(2차) 신호 전체의 전제, 신설 필요. 평가 기간 일정 마스터도 없음 — 신설 필요. 억제: 팀원별 미제출 독려는 1차 몫이고, 2차에는 평가자·팀 단위 제출률로만 올린다</t>
        </is>
      </c>
    </row>
    <row r="55" ht="58" customHeight="1">
      <c r="A55" s="3" t="inlineStr">
        <is>
          <t>평가-조직장2차-02</t>
        </is>
      </c>
      <c r="B55" s="17" t="inlineStr">
        <is>
          <t>평가</t>
        </is>
      </c>
      <c r="C55" s="17" t="inlineStr">
        <is>
          <t>조직장(2차)</t>
        </is>
      </c>
      <c r="D55" s="17" t="inlineStr">
        <is>
          <t>② 비어 있다 / 멈췄다</t>
        </is>
      </c>
      <c r="E55" s="3" t="inlineStr">
        <is>
          <t>E팀장 평가 근거가 대부분 비어 있어요</t>
        </is>
      </c>
      <c r="F55" s="3" t="inlineStr">
        <is>
          <t>E팀장 제출 평가 11건 중 8건의 근거 문장이 40자 미만 (내 조직 평균 180자)</t>
        </is>
      </c>
      <c r="G55" s="3" t="inlineStr">
        <is>
          <t>한 1차 평가자가 제출한 평가 중 근거 문장이 40자 미만이거나 비어 있는 것이 3건 이상이고 담당 팀원의 30%를 넘을 때</t>
        </is>
      </c>
      <c r="H55" s="17" t="inlineStr">
        <is>
          <t>팀 평균</t>
        </is>
      </c>
      <c r="I55" s="3" t="inlineStr">
        <is>
          <t>평가별 근거 요약문의 길이와 작성 여부; 1차 평가자별 담당 팀원 수; 내 조직 평균 근거 길이; 평가 제출 상태</t>
        </is>
      </c>
      <c r="J55" s="3" t="inlineStr">
        <is>
          <t>근거가 짧은 평가 목록; 해당 팀원의 목표 진척·점검 코멘트·핵심결과 달성값; 근거로 쓸 수 있는 사실 묶음; 요청 문구 초안</t>
        </is>
      </c>
      <c r="K55" s="17" t="inlineStr">
        <is>
          <t>A6 요청하기</t>
        </is>
      </c>
      <c r="L55" s="3" t="inlineStr">
        <is>
          <t>E팀장에게 평가 근거 보완을 요청할까요?</t>
        </is>
      </c>
      <c r="M55" s="3" t="inlineStr">
        <is>
          <t>요청 기록 + 승인 흐름 (평가 재작성 요청 이력 저장 위치 신설 필요)</t>
        </is>
      </c>
      <c r="N55" s="17" t="n">
        <v>3</v>
      </c>
      <c r="O55" s="17" t="n">
        <v>3</v>
      </c>
      <c r="P55" s="17" t="n">
        <v>2</v>
      </c>
      <c r="Q55" s="17">
        <f>N55+O55+P55</f>
        <v/>
      </c>
      <c r="R55" s="17" t="inlineStr">
        <is>
          <t>우리만 가능</t>
        </is>
      </c>
      <c r="S55" s="3" t="inlineStr">
        <is>
          <t>14일</t>
        </is>
      </c>
      <c r="T55" s="3" t="inlineStr">
        <is>
          <t>3건 이상 또는 담당 팀원의 30% 이상</t>
        </is>
      </c>
      <c r="U55" s="3" t="inlineStr">
        <is>
          <t>해당 평가의 근거 문장이 채워지면 즉시</t>
        </is>
      </c>
      <c r="V55" s="3" t="inlineStr">
        <is>
          <t>평가 근거 요약문은 실측 존재(221건). 다만 평가자 매핑이 없어 '누가 쓴 근거'인지 현재 확인 불가 — 신설 필요. 관측 대상은 팀원이 아니라 1차 평가자의 작성 충실도. 억제: 평가 1건의 근거 부족은 1차에게 먼저 뜨고, 2차에는 평가자 단위로 묶어서만 올린다</t>
        </is>
      </c>
    </row>
    <row r="56" ht="58" customHeight="1">
      <c r="A56" s="3" t="inlineStr">
        <is>
          <t>평가-조직장2차-03</t>
        </is>
      </c>
      <c r="B56" s="17" t="inlineStr">
        <is>
          <t>평가</t>
        </is>
      </c>
      <c r="C56" s="17" t="inlineStr">
        <is>
          <t>조직장(2차)</t>
        </is>
      </c>
      <c r="D56" s="17" t="inlineStr">
        <is>
          <t>③ 기준을 벗어났다</t>
        </is>
      </c>
      <c r="E56" s="3" t="inlineStr">
        <is>
          <t>F팀장 등급이 상위 등급에 쏠렸어요</t>
        </is>
      </c>
      <c r="F56" s="3" t="inlineStr">
        <is>
          <t>F팀장 부여 등급 S·A 비중 82% (내 조직 평균 41%, 제도 권고 상한 50%)</t>
        </is>
      </c>
      <c r="G56" s="3" t="inlineStr">
        <is>
          <t>한 1차 평가자가 부여한 상위 등급 비중이 제도 권고 상한을 20%p 이상 넘거나 중간 등급 비중이 80%를 넘고, 담당 팀원이 5명 이상일 때</t>
        </is>
      </c>
      <c r="H56" s="17" t="inlineStr">
        <is>
          <t>제도 기준값</t>
        </is>
      </c>
      <c r="I56" s="3" t="inlineStr">
        <is>
          <t>1차 평가자별 부여 등급 분포(S/A/B/C); 평가자별 담당 팀원 수; 제도 등급 분포 권고값; 내 조직 전체 등급 분포; 해당 팀의 목표 달성 정규화 점수</t>
        </is>
      </c>
      <c r="J56" s="3" t="inlineStr">
        <is>
          <t>평가자별 등급 분포 비교표; 해당 팀의 목표 달성 점수 분포; 같은 평가자의 지난 두 사이클 등급 분포; 회의에서 다룰 항목 초안</t>
        </is>
      </c>
      <c r="K56" s="17" t="inlineStr">
        <is>
          <t>A4 대화 잡기</t>
        </is>
      </c>
      <c r="L56" s="3" t="inlineStr">
        <is>
          <t>F팀장과 등급 조정 회의를 잡을까요?</t>
        </is>
      </c>
      <c r="M56" s="3" t="inlineStr">
        <is>
          <t>일정 + 이야기할 항목 기록 (등급 조정 회의 기록 — 저장 위치 신설 필요)</t>
        </is>
      </c>
      <c r="N56" s="17" t="n">
        <v>3</v>
      </c>
      <c r="O56" s="17" t="n">
        <v>2</v>
      </c>
      <c r="P56" s="17" t="n">
        <v>3</v>
      </c>
      <c r="Q56" s="17">
        <f>N56+O56+P56</f>
        <v/>
      </c>
      <c r="R56" s="17" t="inlineStr">
        <is>
          <t>우리만 가능</t>
        </is>
      </c>
      <c r="S56" s="3" t="inlineStr">
        <is>
          <t>14일</t>
        </is>
      </c>
      <c r="T56" s="3" t="inlineStr">
        <is>
          <t>담당 팀원 5명 이상일 때만 판정</t>
        </is>
      </c>
      <c r="U56" s="3" t="inlineStr">
        <is>
          <t>조정 회의 기록이 남거나 등급 분포가 권고 범위에 들어오면 즉시</t>
        </is>
      </c>
      <c r="V56" s="3" t="inlineStr">
        <is>
          <t>등급(S/A/B/C)과 과거 평가 이력(204명, FY2024~2025)은 실측 존재. 평가자 매핑이 없어 '평가자별' 집계가 현재 불가 — 신설 필요. 등급 조정 이력·조정 회의 기록이 브라우저 임시 저장뿐 — 서버 보존 신설 필요. 관대화(상위 쏠림)와 중앙집중(중간 쏠림)을 한 규칙의 두 방향으로 둔다. 억제: 팀원 개인의 등급 자체는 2차에 개별로 올리지 않는다</t>
        </is>
      </c>
    </row>
    <row r="57" ht="58" customHeight="1">
      <c r="A57" s="3" t="inlineStr">
        <is>
          <t>평가-조직장2차-04</t>
        </is>
      </c>
      <c r="B57" s="17" t="inlineStr">
        <is>
          <t>평가</t>
        </is>
      </c>
      <c r="C57" s="17" t="inlineStr">
        <is>
          <t>조직장(2차)</t>
        </is>
      </c>
      <c r="D57" s="17" t="inlineStr">
        <is>
          <t>④ 서로 안 맞는다</t>
        </is>
      </c>
      <c r="E57" s="3" t="inlineStr">
        <is>
          <t>등급과 목표 달성 점수가 서로 안 맞아요</t>
        </is>
      </c>
      <c r="F57" s="3" t="inlineStr">
        <is>
          <t>S등급 3건의 목표 달성 정규화 점수가 조직 중위값 아래 (평균 대비 -14점)</t>
        </is>
      </c>
      <c r="G57" s="3" t="inlineStr">
        <is>
          <t>부여 등급이 상위인데 목표 달성 점수가 내 조직 중위값보다 낮은 것이 3건 이상이거나 해당 평가자 담당의 30% 이상일 때</t>
        </is>
      </c>
      <c r="H57" s="17" t="inlineStr">
        <is>
          <t>팀 평균</t>
        </is>
      </c>
      <c r="I57" s="3" t="inlineStr">
        <is>
          <t>평가별 부여 등급; 목표 달성·피어 강점·실행 일관성 정규화 점수; 내 조직 점수 중위값; 핵심결과 진척과 달성값; 평가자별 담당 명단</t>
        </is>
      </c>
      <c r="J57" s="3" t="inlineStr">
        <is>
          <t>등급과 점수가 벌어진 평가 목록; 해당 팀원의 진척·점검 이력; 근거 요약문 원문; 재검토 요청 문구 초안</t>
        </is>
      </c>
      <c r="K57" s="17" t="inlineStr">
        <is>
          <t>A6 요청하기</t>
        </is>
      </c>
      <c r="L57" s="3" t="inlineStr">
        <is>
          <t>등급과 점수가 벌어진 3건을 재검토 요청할까요?</t>
        </is>
      </c>
      <c r="M57" s="3" t="inlineStr">
        <is>
          <t>요청 기록 + 승인 흐름 (평가 재검토 요청 이력 저장 위치 신설 필요)</t>
        </is>
      </c>
      <c r="N57" s="17" t="n">
        <v>3</v>
      </c>
      <c r="O57" s="17" t="n">
        <v>2</v>
      </c>
      <c r="P57" s="17" t="n">
        <v>3</v>
      </c>
      <c r="Q57" s="17">
        <f>N57+O57+P57</f>
        <v/>
      </c>
      <c r="R57" s="17" t="inlineStr">
        <is>
          <t>우리만 가능</t>
        </is>
      </c>
      <c r="S57" s="3" t="inlineStr">
        <is>
          <t>14일</t>
        </is>
      </c>
      <c r="T57" s="3" t="inlineStr">
        <is>
          <t>3건 이상 또는 해당 평가자 담당의 30% 이상</t>
        </is>
      </c>
      <c r="U57" s="3" t="inlineStr">
        <is>
          <t>등급이 조정되거나 근거가 보완되어 재검토가 종결되면 즉시</t>
        </is>
      </c>
      <c r="V57" s="3" t="inlineStr">
        <is>
          <t>3요소 점수·등급·진척은 실측 존재(평가 221건). 평가자 매핑이 없어 평가자 단위로 묶을 수 없음 — 신설 필요. 억제: 개별 1건은 1차가 먼저 볼 기회를 가진 뒤 3건 이상 모일 때만 2차 카드를 만든다</t>
        </is>
      </c>
    </row>
    <row r="58" ht="58" customHeight="1">
      <c r="A58" s="3" t="inlineStr">
        <is>
          <t>평가-조직장2차-05</t>
        </is>
      </c>
      <c r="B58" s="17" t="inlineStr">
        <is>
          <t>평가</t>
        </is>
      </c>
      <c r="C58" s="17" t="inlineStr">
        <is>
          <t>조직장(2차)</t>
        </is>
      </c>
      <c r="D58" s="17" t="inlineStr">
        <is>
          <t>⑤ 무슨 일이 생겼다</t>
        </is>
      </c>
      <c r="E58" s="3" t="inlineStr">
        <is>
          <t>G팀장이 팀원 등급을 올려 바꿨어요</t>
        </is>
      </c>
      <c r="F58" s="3" t="inlineStr">
        <is>
          <t>제출 뒤 등급 변경 2건(B→A 2건), 변경 사유 문장 없음</t>
        </is>
      </c>
      <c r="G58" s="3" t="inlineStr">
        <is>
          <t>1차 평가자가 이미 제출한 평가의 등급을 바꿨고, 바뀐 이유가 기록되지 않은 것이 1건 이상일 때</t>
        </is>
      </c>
      <c r="H58" s="17" t="inlineStr">
        <is>
          <t>없음</t>
        </is>
      </c>
      <c r="I58" s="3" t="inlineStr">
        <is>
          <t>평가 등급 변경 이력(변경 전·후 값, 변경 시각, 변경자); 변경 사유 기록 유무; 해당 팀원의 3요소 점수와 진척; 평가 제출 상태</t>
        </is>
      </c>
      <c r="J58" s="3" t="inlineStr">
        <is>
          <t>변경 전후 등급과 변경 시각; 대상 팀원의 점수·진척·근거 요약문; 같은 팀 등급 분포의 변화; 승인 판단에 쓸 사실 묶음</t>
        </is>
      </c>
      <c r="K58" s="17" t="inlineStr">
        <is>
          <t>A6 요청하기</t>
        </is>
      </c>
      <c r="L58" s="3" t="inlineStr">
        <is>
          <t>변경된 등급 2건의 사유 기록을 요청할까요?</t>
        </is>
      </c>
      <c r="M58" s="3" t="inlineStr">
        <is>
          <t>요청 기록 + 승인 흐름 (등급 변경 승인·사유 기록 저장 위치 신설 필요)</t>
        </is>
      </c>
      <c r="N58" s="17" t="n">
        <v>3</v>
      </c>
      <c r="O58" s="17" t="n">
        <v>2</v>
      </c>
      <c r="P58" s="17" t="n">
        <v>3</v>
      </c>
      <c r="Q58" s="17">
        <f>N58+O58+P58</f>
        <v/>
      </c>
      <c r="R58" s="17" t="inlineStr">
        <is>
          <t>우리만 가능</t>
        </is>
      </c>
      <c r="S58" s="3" t="inlineStr">
        <is>
          <t>재알림 없음(1회)</t>
        </is>
      </c>
      <c r="T58" s="3" t="inlineStr">
        <is>
          <t>해당 없음 — 2차 승인 대상이라 1건도 띄운다</t>
        </is>
      </c>
      <c r="U58" s="3" t="inlineStr">
        <is>
          <t>사유가 기록되고 2차가 승인 또는 반송하면 즉시</t>
        </is>
      </c>
      <c r="V58" s="3" t="inlineStr">
        <is>
          <t>등급 조정 이력과 조정 세션 기록이 브라우저 임시 저장뿐 — 변경 이력(전·후 값·시각·변경자) 신설 필요, 이 신호의 전제. 억제: 1차 평가자 본인의 행위이므로 1차에는 카드를 만들지 않고 2차 전용으로 둔다. 팀원 본인에게는 확정 통보 단계에서만 보인다</t>
        </is>
      </c>
    </row>
    <row r="59" ht="58" customHeight="1">
      <c r="A59" s="3" t="inlineStr">
        <is>
          <t>평가-HR경영진-01</t>
        </is>
      </c>
      <c r="B59" s="17" t="inlineStr">
        <is>
          <t>평가</t>
        </is>
      </c>
      <c r="C59" s="17" t="inlineStr">
        <is>
          <t>HR·경영진</t>
        </is>
      </c>
      <c r="D59" s="17" t="inlineStr">
        <is>
          <t>① 때가 됐다</t>
        </is>
      </c>
      <c r="E59" s="3" t="inlineStr">
        <is>
          <t>평가 마감 이틀 전인데 제출이 절반이에요</t>
        </is>
      </c>
      <c r="F59" s="3" t="inlineStr">
        <is>
          <t>마감 2일 전 전사 1차 평가 제출률 52% (제도 기준 마감 2일 전 85%); 제출률 50% 미만 조직 8개 / 38개; 기준 시점 2026-07-16</t>
        </is>
      </c>
      <c r="G59" s="3" t="inlineStr">
        <is>
          <t>평가 마감일까지 2일 이하 남았고 전사 제출률이 85%에 못 미치며 제출률 50% 미만 조직이 5개 이상일 때</t>
        </is>
      </c>
      <c r="H59" s="17" t="inlineStr">
        <is>
          <t>제도 기준값</t>
        </is>
      </c>
      <c r="I59" s="3" t="inlineStr">
        <is>
          <t>평가 기간 일정의 마감일; 평가별 제출 상태와 제출 시각; 1차 평가자 매핑; 조직별 평가 대상 인원수</t>
        </is>
      </c>
      <c r="J59" s="3" t="inlineStr">
        <is>
          <t>조직별 제출률과 남은 건수; 미제출이 몰린 조직 목록; 지난 사이클 같은 시점 제출률</t>
        </is>
      </c>
      <c r="K59" s="17" t="inlineStr">
        <is>
          <t>A3 보내기</t>
        </is>
      </c>
      <c r="L59" s="3" t="inlineStr">
        <is>
          <t>제출이 밀린 조직 8곳 평가자에게 마감 안내를 보낼까요?</t>
        </is>
      </c>
      <c r="M59" s="3" t="inlineStr">
        <is>
          <t>마감 안내 메시지 발송 기록(보냄·받음) + 조직별 제출률 갱신 — 알림 발송 원장 신설 필요</t>
        </is>
      </c>
      <c r="N59" s="17" t="n">
        <v>3</v>
      </c>
      <c r="O59" s="17" t="n">
        <v>3</v>
      </c>
      <c r="P59" s="17" t="n">
        <v>1</v>
      </c>
      <c r="Q59" s="17">
        <f>N59+O59+P59</f>
        <v/>
      </c>
      <c r="R59" s="17" t="inlineStr">
        <is>
          <t>기초</t>
        </is>
      </c>
      <c r="S59" s="3" t="inlineStr">
        <is>
          <t>3일</t>
        </is>
      </c>
      <c r="T59" s="3" t="inlineStr">
        <is>
          <t>조직·전사 합계 기준 제출률 50% 미만 조직 5개 이상 또는 전사 제출률 85% 미만</t>
        </is>
      </c>
      <c r="U59" s="3" t="inlineStr">
        <is>
          <t>전사 제출률이 85%를 넘거나 마감일이 지나면</t>
        </is>
      </c>
      <c r="V59" s="3" t="inlineStr">
        <is>
          <t>평가 레코드에 평가자 매핑·제출 시각·제출 상태가 없어 신설 필요, 평가 기간 일정 마스터도 없음 — 두 항목이 이 카드의 전제다. 조직장(1차)·조직장(2차)에게 먼저 미제출 카드가 떴다는 전제 아래 생성한다</t>
        </is>
      </c>
    </row>
    <row r="60" ht="58" customHeight="1">
      <c r="A60" s="3" t="inlineStr">
        <is>
          <t>평가-HR경영진-02</t>
        </is>
      </c>
      <c r="B60" s="17" t="inlineStr">
        <is>
          <t>평가</t>
        </is>
      </c>
      <c r="C60" s="17" t="inlineStr">
        <is>
          <t>HR·경영진</t>
        </is>
      </c>
      <c r="D60" s="17" t="inlineStr">
        <is>
          <t>② 비어 있다 / 멈췄다</t>
        </is>
      </c>
      <c r="E60" s="3" t="inlineStr">
        <is>
          <t>평가 근거가 비어 있는 조직이 있어요</t>
        </is>
      </c>
      <c r="F60" s="3" t="inlineStr">
        <is>
          <t>3개 조직 평가 근거 요약문 평균 42자 (제도 기준 200자 이상, 전사 260자); 점검·다면 기록을 한 건도 인용하지 않은 평가 19건; 기준 시점 2026-07-16</t>
        </is>
      </c>
      <c r="G60" s="3" t="inlineStr">
        <is>
          <t>한 조직의 제출된 평가 중 근거 요약문이 제도 기준 글자수에 못 미치거나 인용한 기록이 한 건도 없는 평가가 5건 이상이거나 그 조직 대상자의 20% 이상일 때</t>
        </is>
      </c>
      <c r="H60" s="17" t="inlineStr">
        <is>
          <t>제도 기준값</t>
        </is>
      </c>
      <c r="I60" s="3" t="inlineStr">
        <is>
          <t>평가의 근거 요약문 내용과 길이; 평가가 인용한 점검·다면 기록; 평가 대상자의 소속조직; 조직별 평가 건수</t>
        </is>
      </c>
      <c r="J60" s="3" t="inlineStr">
        <is>
          <t>근거가 부실한 평가 건수와 조직 분포; 해당 대상자의 점검 건수와 진척 기록; 인용할 수 있는 기록 목록</t>
        </is>
      </c>
      <c r="K60" s="17" t="inlineStr">
        <is>
          <t>A6 요청하기</t>
        </is>
      </c>
      <c r="L60" s="3" t="inlineStr">
        <is>
          <t>해당 조직에 평가 근거 보완을 요청할까요?</t>
        </is>
      </c>
      <c r="M60" s="3" t="inlineStr">
        <is>
          <t>평가 근거 보완 요청 기록 + 조직별 보완 이행 상태 — 요청 처리 원장 신설 필요</t>
        </is>
      </c>
      <c r="N60" s="17" t="n">
        <v>3</v>
      </c>
      <c r="O60" s="17" t="n">
        <v>2</v>
      </c>
      <c r="P60" s="17" t="n">
        <v>3</v>
      </c>
      <c r="Q60" s="17">
        <f>N60+O60+P60</f>
        <v/>
      </c>
      <c r="R60" s="17" t="inlineStr">
        <is>
          <t>우리만 가능</t>
        </is>
      </c>
      <c r="S60" s="3" t="inlineStr">
        <is>
          <t>14일</t>
        </is>
      </c>
      <c r="T60" s="3" t="inlineStr">
        <is>
          <t>조직·전사 합계 기준 조직당 근거 부실 평가 5건 이상 또는 그 조직 대상자의 20% 이상</t>
        </is>
      </c>
      <c r="U60" s="3" t="inlineStr">
        <is>
          <t>해당 조직의 근거 부실 건수가 기준 아래로 내려가거나 보완이 완료되면</t>
        </is>
      </c>
      <c r="V60" s="3" t="inlineStr">
        <is>
          <t>평가 221건에 근거 요약문은 있으나 그 근거가 어느 점검·다면 기록을 인용했는지 연결 정보가 없어 확인·신설 필요. 근거 최소 글자수 등 제도 기준값도 정해야 한다. 조직장(2차)의 1차 평가 충실도 카드가 먼저 뜬다는 전제</t>
        </is>
      </c>
    </row>
    <row r="61" ht="58" customHeight="1">
      <c r="A61" s="3" t="inlineStr">
        <is>
          <t>평가-HR경영진-03</t>
        </is>
      </c>
      <c r="B61" s="17" t="inlineStr">
        <is>
          <t>평가</t>
        </is>
      </c>
      <c r="C61" s="17" t="inlineStr">
        <is>
          <t>HR·경영진</t>
        </is>
      </c>
      <c r="D61" s="17" t="inlineStr">
        <is>
          <t>③ 기준을 벗어났다</t>
        </is>
      </c>
      <c r="E61" s="3" t="inlineStr">
        <is>
          <t>한 조직에 상위 등급이 몰려 있어요</t>
        </is>
      </c>
      <c r="F61" s="3" t="inlineStr">
        <is>
          <t>B조직 S·A 등급 비중 61% (제도 가이드라인 30% 이하, 전사 28%); 대상자 23명; 기준 시점 2026-07-16</t>
        </is>
      </c>
      <c r="G61" s="3" t="inlineStr">
        <is>
          <t>한 조직의 상위 등급 비중이 제도 가이드라인 상한을 15%p 이상 넘고, 그 조직 평가 대상자가 5명 이상일 때</t>
        </is>
      </c>
      <c r="H61" s="17" t="inlineStr">
        <is>
          <t>제도 기준값</t>
        </is>
      </c>
      <c r="I61" s="3" t="inlineStr">
        <is>
          <t>평가의 등급과 대상자 소속조직; 조직별 평가 대상 인원수; 제도로 정한 등급 분포 가이드라인; 과거 평가 이력의 조직별 등급 분포</t>
        </is>
      </c>
      <c r="J61" s="3" t="inlineStr">
        <is>
          <t>조직별 등급 분포와 가이드라인 비교; 같은 조직의 지난 사이클 분포; 등급별 종합점수 범위</t>
        </is>
      </c>
      <c r="K61" s="17" t="inlineStr">
        <is>
          <t>A6 요청하기</t>
        </is>
      </c>
      <c r="L61" s="3" t="inlineStr">
        <is>
          <t>이 조직을 등급 조정 회의 대상으로 올릴까요?</t>
        </is>
      </c>
      <c r="M61" s="3" t="inlineStr">
        <is>
          <t>등급 조정 회의 소집 요청 기록 + 대상 조직 목록 + 조정 결과와 등급 변경 이력 — 조정 이력·회의 기록 저장 위치 신설 필요</t>
        </is>
      </c>
      <c r="N61" s="17" t="n">
        <v>3</v>
      </c>
      <c r="O61" s="17" t="n">
        <v>2</v>
      </c>
      <c r="P61" s="17" t="n">
        <v>2</v>
      </c>
      <c r="Q61" s="17">
        <f>N61+O61+P61</f>
        <v/>
      </c>
      <c r="R61" s="17" t="inlineStr">
        <is>
          <t>우리만 가능</t>
        </is>
      </c>
      <c r="S61" s="3" t="inlineStr">
        <is>
          <t>14일</t>
        </is>
      </c>
      <c r="T61" s="3" t="inlineStr">
        <is>
          <t>조직·전사 합계 기준 조직당 대상자 5명 이상 또는 그 조직 인원의 20% 이상</t>
        </is>
      </c>
      <c r="U61" s="3" t="inlineStr">
        <is>
          <t>등급 조정 회의 결과가 등록되거나 해당 조직 분포가 가이드라인 안으로 들어오면</t>
        </is>
      </c>
      <c r="V61" s="3" t="inlineStr">
        <is>
          <t>등급 조정 이력·calibration 세션 기록이 브라우저 임시 저장뿐이라 서버 보존 신설 필요. 등급 분포 가이드라인 값도 제도로 정해야 한다. 등급(S/A/B/C) 221건과 과거 이력 204명분은 실제로 있어 분포 판정은 가능. 경영진용 카드(평가-HR경영진-04)와 같은 원인</t>
        </is>
      </c>
    </row>
    <row r="62" ht="58" customHeight="1">
      <c r="A62" s="3" t="inlineStr">
        <is>
          <t>평가-HR경영진-04</t>
        </is>
      </c>
      <c r="B62" s="17" t="inlineStr">
        <is>
          <t>평가</t>
        </is>
      </c>
      <c r="C62" s="17" t="inlineStr">
        <is>
          <t>HR·경영진</t>
        </is>
      </c>
      <c r="D62" s="17" t="inlineStr">
        <is>
          <t>③ 기준을 벗어났다</t>
        </is>
      </c>
      <c r="E62" s="3" t="inlineStr">
        <is>
          <t>조직끼리 등급 기준이 서로 달라 보여요</t>
        </is>
      </c>
      <c r="F62" s="3" t="inlineStr">
        <is>
          <t>조직 간 상위 등급 비중 격차 47%p (최고 61% vs 최저 14%); 같은 종합점수 구간에서 조직에 따라 등급이 갈린 대상자 14명; 기준 시점 2026-07-16</t>
        </is>
      </c>
      <c r="G62" s="3" t="inlineStr">
        <is>
          <t>조직 간 상위 등급 비중 격차가 30%p 이상이고, 같은 종합점수 구간에서 조직에 따라 등급이 다른 대상자가 10명 이상일 때</t>
        </is>
      </c>
      <c r="H62" s="17" t="inlineStr">
        <is>
          <t>제도 기준값</t>
        </is>
      </c>
      <c r="I62" s="3" t="inlineStr">
        <is>
          <t>평가의 등급과 종합점수; 대상자 소속조직; 조직별 인원수; 조직 계층과 본부 구분; 2차 평가자 매핑</t>
        </is>
      </c>
      <c r="J62" s="3" t="inlineStr">
        <is>
          <t>조직별 등급-점수 대응표; 점수 구간별 등급 분포; 지난 사이클 조직 간 격차</t>
        </is>
      </c>
      <c r="K62" s="17" t="inlineStr">
        <is>
          <t>A3 보내기</t>
        </is>
      </c>
      <c r="L62" s="3" t="inlineStr">
        <is>
          <t>해당 본부 2차 평가자에게 재검토 요청을 보낼까요?</t>
        </is>
      </c>
      <c r="M62" s="3" t="inlineStr">
        <is>
          <t>재검토 요청 메시지 발송 기록(보냄·받음) + 본부별 회신 상태 — 알림 발송 원장 신설 필요</t>
        </is>
      </c>
      <c r="N62" s="17" t="n">
        <v>3</v>
      </c>
      <c r="O62" s="17" t="n">
        <v>2</v>
      </c>
      <c r="P62" s="17" t="n">
        <v>2</v>
      </c>
      <c r="Q62" s="17">
        <f>N62+O62+P62</f>
        <v/>
      </c>
      <c r="R62" s="17" t="inlineStr">
        <is>
          <t>우리만 가능</t>
        </is>
      </c>
      <c r="S62" s="3" t="inlineStr">
        <is>
          <t>14일</t>
        </is>
      </c>
      <c r="T62" s="3" t="inlineStr">
        <is>
          <t>조직·전사 합계 기준 비교 대상 조직 5개 이상이며 등급이 갈린 대상자 10명 이상</t>
        </is>
      </c>
      <c r="U62" s="3" t="inlineStr">
        <is>
          <t>재검토 회신이 등록되거나 조직 간 격차가 30%p 아래로 줄어들면</t>
        </is>
      </c>
      <c r="V62" s="3" t="inlineStr">
        <is>
          <t>HR용 카드(평가-HR경영진-03)와 같은 원인·같은 근거를 쓰고 행동만 다르다(HR=조정 회의 소집, 경영진=2차 평가자 재검토 지시). 2차 평가자 매핑이 없어 수신자를 정할 수 없으므로 평가자 매핑 신설 필요</t>
        </is>
      </c>
    </row>
    <row r="63" ht="58" customHeight="1">
      <c r="A63" s="3" t="inlineStr">
        <is>
          <t>평가-HR경영진-05</t>
        </is>
      </c>
      <c r="B63" s="17" t="inlineStr">
        <is>
          <t>평가</t>
        </is>
      </c>
      <c r="C63" s="17" t="inlineStr">
        <is>
          <t>HR·경영진</t>
        </is>
      </c>
      <c r="D63" s="17" t="inlineStr">
        <is>
          <t>④ 서로 안 맞는다</t>
        </is>
      </c>
      <c r="E63" s="3" t="inlineStr">
        <is>
          <t>성과는 낮은데 등급은 높은 조직이 있어요</t>
        </is>
      </c>
      <c r="F63" s="3" t="inlineStr">
        <is>
          <t>C조직 목표 평균 진척 46% (전사 78%), 상위 등급 비중 55% (전사 28%); 진척 하위 30%인데 상위 등급을 받은 대상자 12명; 기준 시점 2026-07-16</t>
        </is>
      </c>
      <c r="G63" s="3" t="inlineStr">
        <is>
          <t>한 조직의 목표 평균 진척률이 전사 평균보다 20%p 이상 낮은데 상위 등급 비중은 전사 평균보다 15%p 이상 높고, 그런 대상자가 5명 이상일 때</t>
        </is>
      </c>
      <c r="H63" s="17" t="inlineStr">
        <is>
          <t>팀 평균</t>
        </is>
      </c>
      <c r="I63" s="3" t="inlineStr">
        <is>
          <t>평가의 등급과 종합점수·3요소 원점수; 목표·핵심결과 진척률; 대상자 소속조직; 조직별 인원수</t>
        </is>
      </c>
      <c r="J63" s="3" t="inlineStr">
        <is>
          <t>진척과 등급이 어긋난 인원 수와 조직 분포; 해당 조직의 목표달성 원점수 분포; 근거 요약문 표본</t>
        </is>
      </c>
      <c r="K63" s="17" t="inlineStr">
        <is>
          <t>A6 요청하기</t>
        </is>
      </c>
      <c r="L63" s="3" t="inlineStr">
        <is>
          <t>이 조직 평가 결과 재검토를 요청할까요?</t>
        </is>
      </c>
      <c r="M63" s="3" t="inlineStr">
        <is>
          <t>평가 재검토 요청 기록 + 재검토 결과와 등급 변경 이력 — 조정 이력 저장 위치 신설 필요</t>
        </is>
      </c>
      <c r="N63" s="17" t="n">
        <v>3</v>
      </c>
      <c r="O63" s="17" t="n">
        <v>2</v>
      </c>
      <c r="P63" s="17" t="n">
        <v>3</v>
      </c>
      <c r="Q63" s="17">
        <f>N63+O63+P63</f>
        <v/>
      </c>
      <c r="R63" s="17" t="inlineStr">
        <is>
          <t>우리만 가능</t>
        </is>
      </c>
      <c r="S63" s="3" t="inlineStr">
        <is>
          <t>14일</t>
        </is>
      </c>
      <c r="T63" s="3" t="inlineStr">
        <is>
          <t>조직·전사 합계 기준 어긋난 대상자 5명 이상 또는 그 조직 인원의 20% 이상</t>
        </is>
      </c>
      <c r="U63" s="3" t="inlineStr">
        <is>
          <t>재검토 결과가 등록되거나 어긋난 대상자가 기준 아래로 줄어들면</t>
        </is>
      </c>
      <c r="V63" s="3" t="inlineStr">
        <is>
          <t>평가 3요소 원점수·정규화점수·등급과 목표 진척률이 모두 있어 판정 가능하나, 평가가 어느 목표·핵심결과를 근거로 삼았는지 연결 정보가 없어 확인 필요. 등급 조정 이력 저장 위치 신설 필요. 조직장(2차)의 팀 단위 카드가 먼저 뜬다는 전제이며 개인 이름은 노출하지 않고 조직 단위 인원 수만 보여준다</t>
        </is>
      </c>
    </row>
    <row r="64" ht="58" customHeight="1">
      <c r="A64" s="3" t="inlineStr">
        <is>
          <t>평가-HR경영진-06</t>
        </is>
      </c>
      <c r="B64" s="17" t="inlineStr">
        <is>
          <t>평가</t>
        </is>
      </c>
      <c r="C64" s="17" t="inlineStr">
        <is>
          <t>HR·경영진</t>
        </is>
      </c>
      <c r="D64" s="17" t="inlineStr">
        <is>
          <t>⑤ 무슨 일이 생겼다</t>
        </is>
      </c>
      <c r="E64" s="3" t="inlineStr">
        <is>
          <t>평가 기간에 자리를 옮긴 사람이 많아요</t>
        </is>
      </c>
      <c r="F64" s="3" t="inlineStr">
        <is>
          <t>평가 기간 중 발령·조직 이동 17명, 그중 새 평가자가 정해지지 않은 사람 11명 (65%); 대상 조직 5개; 기준 시점 2026-07-16</t>
        </is>
      </c>
      <c r="G64" s="3" t="inlineStr">
        <is>
          <t>평가 기간 안에 발령이나 조직 이동이 있었던 인원이 5명 이상이고, 그중 새 평가자가 지정되지 않은 비율이 50% 이상일 때</t>
        </is>
      </c>
      <c r="H64" s="17" t="inlineStr">
        <is>
          <t>없음</t>
        </is>
      </c>
      <c r="I64" s="3" t="inlineStr">
        <is>
          <t>발령·직무이동 이력과 발효일; 평가 기간의 개시일·마감일; 평가자 매핑; 이동 인원의 이동 전후 소속조직</t>
        </is>
      </c>
      <c r="J64" s="3" t="inlineStr">
        <is>
          <t>이동 인원의 조직별 분포; 이동 전후 재직 기간 비율; 이동 전 조직에 남은 목표·점검 기록 건수</t>
        </is>
      </c>
      <c r="K64" s="17" t="inlineStr">
        <is>
          <t>A6 요청하기</t>
        </is>
      </c>
      <c r="L64" s="3" t="inlineStr">
        <is>
          <t>이동 인원의 평가자 지정과 기간 분할 처리를 요청할까요?</t>
        </is>
      </c>
      <c r="M64" s="3" t="inlineStr">
        <is>
          <t>평가자 지정·기간 분할 요청 기록 + 처리 결과 — 평가자 매핑과 요청 처리 원장 신설 필요</t>
        </is>
      </c>
      <c r="N64" s="17" t="n">
        <v>3</v>
      </c>
      <c r="O64" s="17" t="n">
        <v>1</v>
      </c>
      <c r="P64" s="17" t="n">
        <v>3</v>
      </c>
      <c r="Q64" s="17">
        <f>N64+O64+P64</f>
        <v/>
      </c>
      <c r="R64" s="17" t="inlineStr">
        <is>
          <t>우리만 가능</t>
        </is>
      </c>
      <c r="S64" s="3" t="inlineStr">
        <is>
          <t>재알림 없음(1회)</t>
        </is>
      </c>
      <c r="T64" s="3" t="inlineStr">
        <is>
          <t>조직·전사 합계 기준 이동 인원 5명 이상 또는 대상 조직의 20% 이상</t>
        </is>
      </c>
      <c r="U64" s="3" t="inlineStr">
        <is>
          <t>대상 인원 전원에 평가자가 지정되거나 처리 결과가 등록되면</t>
        </is>
      </c>
      <c r="V64" s="3" t="inlineStr">
        <is>
          <t>발령·직무이동 이력 채움률 0.5%(221명 중 1명)이고 평가자 매핑 자체가 없어 두 항목 모두 확인·신설 필요 — 두 원천이 갖춰진 뒤에 켠다</t>
        </is>
      </c>
    </row>
    <row r="65" ht="58" customHeight="1">
      <c r="A65" s="3" t="inlineStr">
        <is>
          <t>피드백-조직원-01</t>
        </is>
      </c>
      <c r="B65" s="17" t="inlineStr">
        <is>
          <t>피드백</t>
        </is>
      </c>
      <c r="C65" s="17" t="inlineStr">
        <is>
          <t>조직원</t>
        </is>
      </c>
      <c r="D65" s="17" t="inlineStr">
        <is>
          <t>① 때가 됐다</t>
        </is>
      </c>
      <c r="E65" s="3" t="inlineStr">
        <is>
          <t>다면 리뷰 제출 기한이 다가와요</t>
        </is>
      </c>
      <c r="F65" s="3" t="inlineStr">
        <is>
          <t>다면 리뷰 제출 기한까지 3일 남음; 배정 5명 중 2명 미작성</t>
        </is>
      </c>
      <c r="G65" s="3" t="inlineStr">
        <is>
          <t>다면 리뷰 마감일까지 3일 이하로 남았고, 나에게 배정된 대상자 중 1명 이상을 아직 쓰지 않았을 때</t>
        </is>
      </c>
      <c r="H65" s="17" t="inlineStr">
        <is>
          <t>제도 기준값</t>
        </is>
      </c>
      <c r="I65" s="3" t="inlineStr">
        <is>
          <t>다면 리뷰 배정 목록; 내가 제출한 리뷰 건수; 다면 리뷰 마감일</t>
        </is>
      </c>
      <c r="J65" s="3" t="inlineStr">
        <is>
          <t>대상 동료와 같이 걸린 목표·핵심결과; 대상 동료의 역량 프로파일 항목; 함께 남긴 점검 코멘트</t>
        </is>
      </c>
      <c r="K65" s="17" t="inlineStr">
        <is>
          <t>A1 쓰기</t>
        </is>
      </c>
      <c r="L65" s="3" t="inlineStr">
        <is>
          <t>남은 2명 리뷰 초안을 만들까요?</t>
        </is>
      </c>
      <c r="M65" s="3" t="inlineStr">
        <is>
          <t>다면 리뷰 제출 기록 신규 생성 (저장 위치 신설 필요)</t>
        </is>
      </c>
      <c r="N65" s="17" t="n">
        <v>2</v>
      </c>
      <c r="O65" s="17" t="n">
        <v>3</v>
      </c>
      <c r="P65" s="17" t="n">
        <v>1</v>
      </c>
      <c r="Q65" s="17">
        <f>N65+O65+P65</f>
        <v/>
      </c>
      <c r="R65" s="17" t="inlineStr">
        <is>
          <t>기초</t>
        </is>
      </c>
      <c r="S65" s="3" t="inlineStr">
        <is>
          <t>3일</t>
        </is>
      </c>
      <c r="T65" s="3" t="inlineStr">
        <is>
          <t>해당 없음</t>
        </is>
      </c>
      <c r="U65" s="3" t="inlineStr">
        <is>
          <t>배정된 리뷰를 모두 제출하면 즉시</t>
        </is>
      </c>
      <c r="V65" s="3" t="inlineStr">
        <is>
          <t>현 데모에서 다면진단 제출 결과가 어디에도 저장되지 않음 — 제출 기록 저장 위치 신설이 전제. 배정 목록과 마감일 원천도 확인 필요. 시드 피어리뷰 55건은 화면에 미사용</t>
        </is>
      </c>
    </row>
    <row r="66" ht="58" customHeight="1">
      <c r="A66" s="3" t="inlineStr">
        <is>
          <t>피드백-조직원-02</t>
        </is>
      </c>
      <c r="B66" s="17" t="inlineStr">
        <is>
          <t>피드백</t>
        </is>
      </c>
      <c r="C66" s="17" t="inlineStr">
        <is>
          <t>조직원</t>
        </is>
      </c>
      <c r="D66" s="17" t="inlineStr">
        <is>
          <t>④ 서로 안 맞는다</t>
        </is>
      </c>
      <c r="E66" s="3" t="inlineStr">
        <is>
          <t>동료 의견이 핵심 역량과 겹쳐요</t>
        </is>
      </c>
      <c r="F66" s="3" t="inlineStr">
        <is>
          <t>다면 리뷰 역량 D2 평균 2.6점 (내 역량 5개 평균 3.8점); D2는 내 직무프로파일에서 가중치 1위 역량</t>
        </is>
      </c>
      <c r="G66" s="3" t="inlineStr">
        <is>
          <t>다면 리뷰에서 3점 미만으로 나온 역량이 내 직무에서 가중치가 가장 높은 역량 2개 안에 들어 있을 때</t>
        </is>
      </c>
      <c r="H66" s="17" t="inlineStr">
        <is>
          <t>제도 기준값</t>
        </is>
      </c>
      <c r="I66" s="3" t="inlineStr">
        <is>
          <t>다면 리뷰의 역량별 점수; 내 직무프로파일의 역량별 가중치; 역량 5종(D1~D5) 정의</t>
        </is>
      </c>
      <c r="J66" s="3" t="inlineStr">
        <is>
          <t>다면 리뷰의 강점·개발 코멘트 문장; 해당 역량에 걸린 내 핵심결과; 직무의 요구 스킬 목록</t>
        </is>
      </c>
      <c r="K66" s="17" t="inlineStr">
        <is>
          <t>A1 쓰기</t>
        </is>
      </c>
      <c r="L66" s="3" t="inlineStr">
        <is>
          <t>이 역량을 다음 기간 목표에 넣어 볼까요?</t>
        </is>
      </c>
      <c r="M66" s="3" t="inlineStr">
        <is>
          <t>역량 개발 메모 신규 생성 + 다음 기간 목표 후보로 저장 (저장 위치 신설 필요)</t>
        </is>
      </c>
      <c r="N66" s="17" t="n">
        <v>3</v>
      </c>
      <c r="O66" s="17" t="n">
        <v>1</v>
      </c>
      <c r="P66" s="17" t="n">
        <v>3</v>
      </c>
      <c r="Q66" s="17">
        <f>N66+O66+P66</f>
        <v/>
      </c>
      <c r="R66" s="17" t="inlineStr">
        <is>
          <t>우리만 가능</t>
        </is>
      </c>
      <c r="S66" s="3" t="inlineStr">
        <is>
          <t>재알림 없음(1회)</t>
        </is>
      </c>
      <c r="T66" s="3" t="inlineStr">
        <is>
          <t>해당 없음</t>
        </is>
      </c>
      <c r="U66" s="3" t="inlineStr">
        <is>
          <t>메모를 저장하거나 다음 기간 목표에 반영하면 즉시</t>
        </is>
      </c>
      <c r="V66" s="3" t="inlineStr">
        <is>
          <t>직무프로파일 98종의 역량 가중치와 역량 5종·스킬사전 749종은 실측 확인. 다면 리뷰가 13명 55건에만 있어 모수 부족 — 전사 시행 여부 확인 필요. 개발 메모 저장 위치도 없어 신설 필요. 재알림은 다면 결과가 사이클당 1회만 산출되므로 1회로 둠</t>
        </is>
      </c>
    </row>
    <row r="67" ht="58" customHeight="1">
      <c r="A67" s="3" t="inlineStr">
        <is>
          <t>피드백-조직원-03</t>
        </is>
      </c>
      <c r="B67" s="17" t="inlineStr">
        <is>
          <t>피드백</t>
        </is>
      </c>
      <c r="C67" s="17" t="inlineStr">
        <is>
          <t>조직원</t>
        </is>
      </c>
      <c r="D67" s="17" t="inlineStr">
        <is>
          <t>⑤ 무슨 일이 생겼다</t>
        </is>
      </c>
      <c r="E67" s="3" t="inlineStr">
        <is>
          <t>동료가 남긴 피드백이 도착했어요</t>
        </is>
      </c>
      <c r="F67" s="3" t="inlineStr">
        <is>
          <t>2026-07-25 피드백 1건 도착; 보낸 사람이 내 목표 G-0142에 함께 걸린 동료</t>
        </is>
      </c>
      <c r="G67" s="3" t="inlineStr">
        <is>
          <t>나에게 온 피드백이 3일 안에 도착했고, 보낸 사람이 내 목표나 핵심결과에 함께 걸린 동료일 때</t>
        </is>
      </c>
      <c r="H67" s="17" t="inlineStr">
        <is>
          <t>없음</t>
        </is>
      </c>
      <c r="I67" s="3" t="inlineStr">
        <is>
          <t>받은 피드백 기록의 도착 일시와 보낸 사람; 내 목표·핵심결과의 관련자 목록; 보낸 사람과 나의 목표 연결 관계</t>
        </is>
      </c>
      <c r="J67" s="3" t="inlineStr">
        <is>
          <t>받은 피드백 본문; 언급된 핵심결과의 진척과 점검 코멘트; 지난번 같은 동료와 주고받은 내용</t>
        </is>
      </c>
      <c r="K67" s="17" t="inlineStr">
        <is>
          <t>A3 보내기</t>
        </is>
      </c>
      <c r="L67" s="3" t="inlineStr">
        <is>
          <t>확인했다는 답신 초안을 보낼까요?</t>
        </is>
      </c>
      <c r="M67" s="3" t="inlineStr">
        <is>
          <t>답신 메시지 기록 + 보냄·받음·열람 기록 (저장 위치 신설 필요)</t>
        </is>
      </c>
      <c r="N67" s="17" t="n">
        <v>3</v>
      </c>
      <c r="O67" s="17" t="n">
        <v>1</v>
      </c>
      <c r="P67" s="17" t="n">
        <v>3</v>
      </c>
      <c r="Q67" s="17">
        <f>N67+O67+P67</f>
        <v/>
      </c>
      <c r="R67" s="17" t="inlineStr">
        <is>
          <t>우리만 가능</t>
        </is>
      </c>
      <c r="S67" s="3" t="inlineStr">
        <is>
          <t>재알림 없음(1회)</t>
        </is>
      </c>
      <c r="T67" s="3" t="inlineStr">
        <is>
          <t>해당 없음</t>
        </is>
      </c>
      <c r="U67" s="3" t="inlineStr">
        <is>
          <t>답신을 보내거나 확인으로 표시하면 즉시</t>
        </is>
      </c>
      <c r="V67" s="3" t="inlineStr">
        <is>
          <t>받은 피드백 기록 7건·상향 피드백 2건으로 데이터 희박. 피드백 전달 여부(보냄·받음·열람) 기록이 없어 신설 필요. '같은 목표에 함께 걸린 동료' 판정은 목표-참여자 관계 정의가 있어야 가능(현재 개인 목표 1건) — 관계가 없으면 이 신호를 띄우지 않음</t>
        </is>
      </c>
    </row>
    <row r="68" ht="58" customHeight="1">
      <c r="A68" s="3" t="inlineStr">
        <is>
          <t>피드백-조직장1차-01</t>
        </is>
      </c>
      <c r="B68" s="17" t="inlineStr">
        <is>
          <t>피드백</t>
        </is>
      </c>
      <c r="C68" s="17" t="inlineStr">
        <is>
          <t>조직장(1차)</t>
        </is>
      </c>
      <c r="D68" s="17" t="inlineStr">
        <is>
          <t>① 때가 됐다</t>
        </is>
      </c>
      <c r="E68" s="3" t="inlineStr">
        <is>
          <t>팀원 피드백 면담이 아직 안 잡혔어요</t>
        </is>
      </c>
      <c r="F68" s="3" t="inlineStr">
        <is>
          <t>피드백 면담 기간 개시 후 7일 경과, 이 팀원과의 면담 기록 0건 (직속 팀원 5명 중 3명 완료)</t>
        </is>
      </c>
      <c r="G68" s="3" t="inlineStr">
        <is>
          <t>피드백 면담 기간이 시작된 뒤 7일이 지났고, 그 팀원과의 면담 기록이 0건일 때</t>
        </is>
      </c>
      <c r="H68" s="17" t="inlineStr">
        <is>
          <t>제도 기준값</t>
        </is>
      </c>
      <c r="I68" s="3" t="inlineStr">
        <is>
          <t>피드백 면담 기간의 개시일과 마감일; 팀원별 면담 기록 유무; 직속 팀원 명단</t>
        </is>
      </c>
      <c r="J68" s="3" t="inlineStr">
        <is>
          <t>확정된 등급과 3요소 정규화점수; 근거 요약문; 이번 기간 점검 문장; 다음 기간 후보 과업</t>
        </is>
      </c>
      <c r="K68" s="17" t="inlineStr">
        <is>
          <t>A4 대화 잡기</t>
        </is>
      </c>
      <c r="L68" s="3" t="inlineStr">
        <is>
          <t>면담을 잡고 이야기할 항목을 만들까요?</t>
        </is>
      </c>
      <c r="M68" s="3" t="inlineStr">
        <is>
          <t>일정 생성 + 이야기할 항목 기록(등급과 근거·잘한 점 2가지·다음 기간 과제) (면담 기록 서버 보존 신설 필요)</t>
        </is>
      </c>
      <c r="N68" s="17" t="n">
        <v>3</v>
      </c>
      <c r="O68" s="17" t="n">
        <v>3</v>
      </c>
      <c r="P68" s="17" t="n">
        <v>1</v>
      </c>
      <c r="Q68" s="17">
        <f>N68+O68+P68</f>
        <v/>
      </c>
      <c r="R68" s="17" t="inlineStr">
        <is>
          <t>기초</t>
        </is>
      </c>
      <c r="S68" s="3" t="inlineStr">
        <is>
          <t>7일</t>
        </is>
      </c>
      <c r="T68" s="3" t="inlineStr">
        <is>
          <t>해당 없음</t>
        </is>
      </c>
      <c r="U68" s="3" t="inlineStr">
        <is>
          <t>그 팀원과의 면담 일정이 저장되면 즉시</t>
        </is>
      </c>
      <c r="V68" s="3" t="inlineStr">
        <is>
          <t>피드백 면담 기간 일정과 면담 기록이 모두 서버에 없음(1on1 기록은 브라우저 80건 롤링) — 둘 다 신설 확인 필요</t>
        </is>
      </c>
    </row>
    <row r="69" ht="58" customHeight="1">
      <c r="A69" s="3" t="inlineStr">
        <is>
          <t>피드백-조직장1차-02</t>
        </is>
      </c>
      <c r="B69" s="17" t="inlineStr">
        <is>
          <t>피드백</t>
        </is>
      </c>
      <c r="C69" s="17" t="inlineStr">
        <is>
          <t>조직장(1차)</t>
        </is>
      </c>
      <c r="D69" s="17" t="inlineStr">
        <is>
          <t>② 비어 있다 / 멈췄다</t>
        </is>
      </c>
      <c r="E69" s="3" t="inlineStr">
        <is>
          <t>써 둔 피드백이 아직 안 갔어요</t>
        </is>
      </c>
      <c r="F69" s="3" t="inlineStr">
        <is>
          <t>이 팀원 피드백 초안 작성 후 5일 경과, 보냄 기록 없음 (제도 기준 등급 확정 후 3일 안 전달)</t>
        </is>
      </c>
      <c r="G69" s="3" t="inlineStr">
        <is>
          <t>그 팀원에게 쓴 피드백 초안이 저장된 뒤 3일이 지났는데 보냄 기록이 없을 때</t>
        </is>
      </c>
      <c r="H69" s="17" t="inlineStr">
        <is>
          <t>제도 기준값</t>
        </is>
      </c>
      <c r="I69" s="3" t="inlineStr">
        <is>
          <t>피드백 초안의 작성일과 대상 팀원; 피드백 보냄·받음 기록; 제도에서 정한 전달 기한</t>
        </is>
      </c>
      <c r="J69" s="3" t="inlineStr">
        <is>
          <t>초안에 쓴 문장; 확정 등급과 근거 요약문; 그 팀원의 피어 리뷰 개발 코멘트</t>
        </is>
      </c>
      <c r="K69" s="17" t="inlineStr">
        <is>
          <t>A3 보내기</t>
        </is>
      </c>
      <c r="L69" s="3" t="inlineStr">
        <is>
          <t>이대로 피드백을 보낼까요?</t>
        </is>
      </c>
      <c r="M69" s="3" t="inlineStr">
        <is>
          <t>피드백 전달 기록 + 보냄·받음·열람 기록 생성 (피드백 전달 여부 기록 저장 위치 신설 필요)</t>
        </is>
      </c>
      <c r="N69" s="17" t="n">
        <v>3</v>
      </c>
      <c r="O69" s="17" t="n">
        <v>2</v>
      </c>
      <c r="P69" s="17" t="n">
        <v>2</v>
      </c>
      <c r="Q69" s="17">
        <f>N69+O69+P69</f>
        <v/>
      </c>
      <c r="R69" s="17" t="inlineStr">
        <is>
          <t>우리만 가능</t>
        </is>
      </c>
      <c r="S69" s="3" t="inlineStr">
        <is>
          <t>7일</t>
        </is>
      </c>
      <c r="T69" s="3" t="inlineStr">
        <is>
          <t>해당 없음</t>
        </is>
      </c>
      <c r="U69" s="3" t="inlineStr">
        <is>
          <t>피드백을 보내면 즉시</t>
        </is>
      </c>
      <c r="V69" s="3" t="inlineStr">
        <is>
          <t>피드백 전달 여부(보냄·받음·열람) 기록이 없고 받은 피드백 기록도 7건뿐 — 이 신호의 전제이므로 신설 확인 필요. 피드백 초안 저장 위치도 함께 필요</t>
        </is>
      </c>
    </row>
    <row r="70" ht="58" customHeight="1">
      <c r="A70" s="3" t="inlineStr">
        <is>
          <t>피드백-조직장1차-03</t>
        </is>
      </c>
      <c r="B70" s="17" t="inlineStr">
        <is>
          <t>피드백</t>
        </is>
      </c>
      <c r="C70" s="17" t="inlineStr">
        <is>
          <t>조직장(1차)</t>
        </is>
      </c>
      <c r="D70" s="17" t="inlineStr">
        <is>
          <t>⑤ 무슨 일이 생겼다</t>
        </is>
      </c>
      <c r="E70" s="3" t="inlineStr">
        <is>
          <t>팀원 동료 리뷰가 새로 도착했어요</t>
        </is>
      </c>
      <c r="F70" s="3" t="inlineStr">
        <is>
          <t>이 팀원 피어 리뷰 3건 도착(마지막 2026-07-26), 그중 2건이 같은 역량(D3)을 개발 항목으로 적음</t>
        </is>
      </c>
      <c r="G70" s="3" t="inlineStr">
        <is>
          <t>그 팀원의 피어 리뷰가 새로 도착했고, 같은 역량을 2명 이상이 개발 항목으로 적었을 때</t>
        </is>
      </c>
      <c r="H70" s="17" t="inlineStr">
        <is>
          <t>없음</t>
        </is>
      </c>
      <c r="I70" s="3" t="inlineStr">
        <is>
          <t>피어 리뷰 도착일과 작성자 수; 역량 D1~D5별 점수와 개발 코멘트; 역량 코드</t>
        </is>
      </c>
      <c r="J70" s="3" t="inlineStr">
        <is>
          <t>피어 리뷰의 강점·개발 코멘트; 직무프로파일의 역량 프로파일 가중치; 내가 쓴 근거 요약문</t>
        </is>
      </c>
      <c r="K70" s="17" t="inlineStr">
        <is>
          <t>A2 고치기·맞추기</t>
        </is>
      </c>
      <c r="L70" s="3" t="inlineStr">
        <is>
          <t>피드백 초안에 이 내용을 넣을까요?</t>
        </is>
      </c>
      <c r="M70" s="3" t="inlineStr">
        <is>
          <t>그 팀원 피드백 초안 수정 + 수정 이력 기록 (피드백 초안 저장 위치 신설 필요)</t>
        </is>
      </c>
      <c r="N70" s="17" t="n">
        <v>2</v>
      </c>
      <c r="O70" s="17" t="n">
        <v>1</v>
      </c>
      <c r="P70" s="17" t="n">
        <v>3</v>
      </c>
      <c r="Q70" s="17">
        <f>N70+O70+P70</f>
        <v/>
      </c>
      <c r="R70" s="17" t="inlineStr">
        <is>
          <t>우리만 가능</t>
        </is>
      </c>
      <c r="S70" s="3" t="inlineStr">
        <is>
          <t>재알림 없음(1회)</t>
        </is>
      </c>
      <c r="T70" s="3" t="inlineStr">
        <is>
          <t>해당 없음</t>
        </is>
      </c>
      <c r="U70" s="3" t="inlineStr">
        <is>
          <t>피드백 초안을 저장하면 즉시</t>
        </is>
      </c>
      <c r="V70" s="3" t="inlineStr">
        <is>
          <t>피어 리뷰 55건은 13명 한정이고 화면에 쓰이지 않으며 다면진단 제출 결과가 어디에도 저장되지 않음 — 다면 데이터 저장과 모수 확대가 이 신호의 전제. 역량 프로파일(역량별 가중치)은 실측 확인됨</t>
        </is>
      </c>
    </row>
    <row r="71" ht="58" customHeight="1">
      <c r="A71" s="3" t="inlineStr">
        <is>
          <t>피드백-조직장2차-01</t>
        </is>
      </c>
      <c r="B71" s="17" t="inlineStr">
        <is>
          <t>피드백</t>
        </is>
      </c>
      <c r="C71" s="17" t="inlineStr">
        <is>
          <t>조직장(2차)</t>
        </is>
      </c>
      <c r="D71" s="17" t="inlineStr">
        <is>
          <t>① 때가 됐다</t>
        </is>
      </c>
      <c r="E71" s="3" t="inlineStr">
        <is>
          <t>면담 기간이 열렸는데 두 팀이 비었어요</t>
        </is>
      </c>
      <c r="F71" s="3" t="inlineStr">
        <is>
          <t>결과 면담 기간 개시 후 10일 경과, 하위 2개 팀 면담 기록 0건 (내 조직 평균 63%)</t>
        </is>
      </c>
      <c r="G71" s="3" t="inlineStr">
        <is>
          <t>결과 면담 기간이 열린 뒤 10일이 지났고, 하위 팀 중 면담 기록이 대상자의 30% 미만인 팀이 1개 이상일 때</t>
        </is>
      </c>
      <c r="H71" s="17" t="inlineStr">
        <is>
          <t>제도 기준값</t>
        </is>
      </c>
      <c r="I71" s="3" t="inlineStr">
        <is>
          <t>결과 면담 기간의 개시일·마감일; 하위 팀별 면담 대상자 수; 팀별 면담 기록 건수; 내 조직 평균 면담 실시율</t>
        </is>
      </c>
      <c r="J71" s="3" t="inlineStr">
        <is>
          <t>팀별 면담 실시율 표; 마감일까지 남은 일수; 미실시 대상자 수; 메시지를 받을 1차 평가자 명단</t>
        </is>
      </c>
      <c r="K71" s="17" t="inlineStr">
        <is>
          <t>A3 보내기</t>
        </is>
      </c>
      <c r="L71" s="3" t="inlineStr">
        <is>
          <t>면담이 안 시작된 두 팀장에게 안내를 보낼까요?</t>
        </is>
      </c>
      <c r="M71" s="3" t="inlineStr">
        <is>
          <t>메시지 기록 + 보냄·받음 기록 (알림 원장에 발송 결과 저장 — 서버 원장 신설 필요)</t>
        </is>
      </c>
      <c r="N71" s="17" t="n">
        <v>3</v>
      </c>
      <c r="O71" s="17" t="n">
        <v>3</v>
      </c>
      <c r="P71" s="17" t="n">
        <v>1</v>
      </c>
      <c r="Q71" s="17">
        <f>N71+O71+P71</f>
        <v/>
      </c>
      <c r="R71" s="17" t="inlineStr">
        <is>
          <t>기초</t>
        </is>
      </c>
      <c r="S71" s="3" t="inlineStr">
        <is>
          <t>3일</t>
        </is>
      </c>
      <c r="T71" s="3" t="inlineStr">
        <is>
          <t>3건 이상 또는 팀의 30% 이상</t>
        </is>
      </c>
      <c r="U71" s="3" t="inlineStr">
        <is>
          <t>해당 팀 면담 실시율이 70% 이상이 되면 즉시</t>
        </is>
      </c>
      <c r="V71" s="3" t="inlineStr">
        <is>
          <t>결과 면담 기간을 담는 일정 마스터 없음 — 신설 필요. 1on1·면담 기록이 브라우저 80건 롤링 — 서버 보존 신설 필요. 억제: 대상자별 면담 독려는 1차 몫이고, 2차에는 팀 합계만 올린다</t>
        </is>
      </c>
    </row>
    <row r="72" ht="58" customHeight="1">
      <c r="A72" s="3" t="inlineStr">
        <is>
          <t>피드백-조직장2차-02</t>
        </is>
      </c>
      <c r="B72" s="17" t="inlineStr">
        <is>
          <t>피드백</t>
        </is>
      </c>
      <c r="C72" s="17" t="inlineStr">
        <is>
          <t>조직장(2차)</t>
        </is>
      </c>
      <c r="D72" s="17" t="inlineStr">
        <is>
          <t>② 비어 있다 / 멈췄다</t>
        </is>
      </c>
      <c r="E72" s="3" t="inlineStr">
        <is>
          <t>두 팀에서 결과 면담이 안 잡혔어요</t>
        </is>
      </c>
      <c r="F72" s="3" t="inlineStr">
        <is>
          <t>등급 확정 후 21일 경과, 2개 팀 대상자 17명 중 면담 기록 2건 (내 조직 평균 8일 내 실시)</t>
        </is>
      </c>
      <c r="G72" s="3" t="inlineStr">
        <is>
          <t>등급이 확정된 뒤 21일이 지났는데 한 팀의 결과 면담 기록이 대상자의 30%를 넘지 못할 때</t>
        </is>
      </c>
      <c r="H72" s="17" t="inlineStr">
        <is>
          <t>팀 평균</t>
        </is>
      </c>
      <c r="I72" s="3" t="inlineStr">
        <is>
          <t>등급 확정일; 1on1·면담 기록의 대상자와 실시일; 팀별 평가 대상자 명단; 하위 팀별 평균 실시 소요일</t>
        </is>
      </c>
      <c r="J72" s="3" t="inlineStr">
        <is>
          <t>팀별 면담 실시 현황; 미실시 대상자의 등급과 점수; 해당 팀장의 지난 사이클 실시율; 요청 문구에 넣을 사실 묶음</t>
        </is>
      </c>
      <c r="K72" s="17" t="inlineStr">
        <is>
          <t>A6 요청하기</t>
        </is>
      </c>
      <c r="L72" s="3" t="inlineStr">
        <is>
          <t>두 팀장에게 결과 면담을 마쳐 달라고 요청할까요?</t>
        </is>
      </c>
      <c r="M72" s="3" t="inlineStr">
        <is>
          <t>요청 기록 + 승인 흐름 (면담 실시 요청 이력 저장 위치 신설 필요)</t>
        </is>
      </c>
      <c r="N72" s="17" t="n">
        <v>3</v>
      </c>
      <c r="O72" s="17" t="n">
        <v>2</v>
      </c>
      <c r="P72" s="17" t="n">
        <v>2</v>
      </c>
      <c r="Q72" s="17">
        <f>N72+O72+P72</f>
        <v/>
      </c>
      <c r="R72" s="17" t="inlineStr">
        <is>
          <t>우리만 가능</t>
        </is>
      </c>
      <c r="S72" s="3" t="inlineStr">
        <is>
          <t>14일</t>
        </is>
      </c>
      <c r="T72" s="3" t="inlineStr">
        <is>
          <t>3건 이상 또는 팀의 30% 이상</t>
        </is>
      </c>
      <c r="U72" s="3" t="inlineStr">
        <is>
          <t>해당 팀 면담 실시율이 70% 이상이 되면 즉시</t>
        </is>
      </c>
      <c r="V72" s="3" t="inlineStr">
        <is>
          <t>1on1·면담 합의 기록이 브라우저 80건 롤링 — 서버 보존 신설 필요. 등급 확정일 필드 확인 필요. 관측 대상은 팀원이 아니라 1차 평가자의 면담 실시 행위. 억제: 대상자 개인의 면담 미실시는 1차에게만 뜨고, 2차에는 팀 단위로 묶어 올린다</t>
        </is>
      </c>
    </row>
    <row r="73" ht="58" customHeight="1">
      <c r="A73" s="3" t="inlineStr">
        <is>
          <t>피드백-조직장2차-03</t>
        </is>
      </c>
      <c r="B73" s="17" t="inlineStr">
        <is>
          <t>피드백</t>
        </is>
      </c>
      <c r="C73" s="17" t="inlineStr">
        <is>
          <t>조직장(2차)</t>
        </is>
      </c>
      <c r="D73" s="17" t="inlineStr">
        <is>
          <t>④ 서로 안 맞는다</t>
        </is>
      </c>
      <c r="E73" s="3" t="inlineStr">
        <is>
          <t>낮은 등급 3건에 개발 의견이 없어요</t>
        </is>
      </c>
      <c r="F73" s="3" t="inlineStr">
        <is>
          <t>C등급 3건 모두 개발·육성 의견 미작성 (제도 기준: 최저 등급은 육성 의견 필수)</t>
        </is>
      </c>
      <c r="G73" s="3" t="inlineStr">
        <is>
          <t>가장 낮은 등급을 받은 대상자 중 개발·육성 의견이 비어 있는 것이 3건 이상이거나 해당 팀 최저 등급의 절반을 넘을 때</t>
        </is>
      </c>
      <c r="H73" s="17" t="inlineStr">
        <is>
          <t>제도 기준값</t>
        </is>
      </c>
      <c r="I73" s="3" t="inlineStr">
        <is>
          <t>대상자별 확정 등급; 개발·육성 의견의 작성 여부와 길이; 다면 리뷰의 개발 코멘트; 면담 기록 유무; 평가자별 담당 명단</t>
        </is>
      </c>
      <c r="J73" s="3" t="inlineStr">
        <is>
          <t>육성 의견이 빠진 대상자 목록; 해당 대상자의 역량 점수(D1~D5)와 다면 코멘트; 직무프로파일의 요구 스킬과 과업; 요청 문구 초안</t>
        </is>
      </c>
      <c r="K73" s="17" t="inlineStr">
        <is>
          <t>A6 요청하기</t>
        </is>
      </c>
      <c r="L73" s="3" t="inlineStr">
        <is>
          <t>육성 의견이 빠진 3건을 채워 달라고 요청할까요?</t>
        </is>
      </c>
      <c r="M73" s="3" t="inlineStr">
        <is>
          <t>요청 기록 + 승인 흐름 (육성 의견 보완 요청 이력 저장 위치 신설 필요)</t>
        </is>
      </c>
      <c r="N73" s="17" t="n">
        <v>3</v>
      </c>
      <c r="O73" s="17" t="n">
        <v>2</v>
      </c>
      <c r="P73" s="17" t="n">
        <v>3</v>
      </c>
      <c r="Q73" s="17">
        <f>N73+O73+P73</f>
        <v/>
      </c>
      <c r="R73" s="17" t="inlineStr">
        <is>
          <t>우리만 가능</t>
        </is>
      </c>
      <c r="S73" s="3" t="inlineStr">
        <is>
          <t>14일</t>
        </is>
      </c>
      <c r="T73" s="3" t="inlineStr">
        <is>
          <t>3건 이상 또는 해당 팀 최저 등급의 50% 이상</t>
        </is>
      </c>
      <c r="U73" s="3" t="inlineStr">
        <is>
          <t>해당 대상자의 육성 의견이 저장되면 즉시</t>
        </is>
      </c>
      <c r="V73" s="3" t="inlineStr">
        <is>
          <t>개발·육성 의견을 담는 필드가 따로 없음(평가 근거 요약문과 다면 리뷰 코멘트뿐) — 신설 필요. 다면 리뷰가 13명 한정(55건)이라 근거가 얇음 — 모수 확인 필요. 억제: 개별 1건은 1차에게 먼저 뜨고, 3건 이상 모일 때만 2차 카드를 만든다</t>
        </is>
      </c>
    </row>
    <row r="74" ht="58" customHeight="1">
      <c r="A74" s="3" t="inlineStr">
        <is>
          <t>피드백-조직장2차-04</t>
        </is>
      </c>
      <c r="B74" s="17" t="inlineStr">
        <is>
          <t>피드백</t>
        </is>
      </c>
      <c r="C74" s="17" t="inlineStr">
        <is>
          <t>조직장(2차)</t>
        </is>
      </c>
      <c r="D74" s="17" t="inlineStr">
        <is>
          <t>⑤ 무슨 일이 생겼다</t>
        </is>
      </c>
      <c r="E74" s="3" t="inlineStr">
        <is>
          <t>상향 피드백이 도착했어요</t>
        </is>
      </c>
      <c r="F74" s="3" t="inlineStr">
        <is>
          <t>상향 피드백 2건 도착 (내 조직 누적 2건)</t>
        </is>
      </c>
      <c r="G74" s="3" t="inlineStr">
        <is>
          <t>-</t>
        </is>
      </c>
      <c r="H74" s="17" t="inlineStr">
        <is>
          <t>없음</t>
        </is>
      </c>
      <c r="I74" s="3" t="inlineStr">
        <is>
          <t>-</t>
        </is>
      </c>
      <c r="J74" s="3" t="inlineStr">
        <is>
          <t>-</t>
        </is>
      </c>
      <c r="K74" s="17" t="inlineStr">
        <is>
          <t>-</t>
        </is>
      </c>
      <c r="L74" s="3" t="inlineStr">
        <is>
          <t>-</t>
        </is>
      </c>
      <c r="M74" s="3" t="inlineStr">
        <is>
          <t>-</t>
        </is>
      </c>
      <c r="N74" s="17" t="n">
        <v>2</v>
      </c>
      <c r="O74" s="17" t="n">
        <v>1</v>
      </c>
      <c r="P74" s="17" t="n">
        <v>2</v>
      </c>
      <c r="Q74" s="17">
        <f>N74+O74+P74</f>
        <v/>
      </c>
      <c r="R74" s="17" t="inlineStr">
        <is>
          <t>제외</t>
        </is>
      </c>
      <c r="S74" s="3" t="inlineStr">
        <is>
          <t>-</t>
        </is>
      </c>
      <c r="T74" s="3" t="inlineStr">
        <is>
          <t>-</t>
        </is>
      </c>
      <c r="U74" s="3" t="inlineStr">
        <is>
          <t>-</t>
        </is>
      </c>
      <c r="V74" s="3" t="inlineStr">
        <is>
          <t>상향 피드백이 2건뿐이고 전달·열람 기록이 없어 팀 합계 최소 건수(3건)를 채울 수 없다. 익명 수집이라 합쳐도 대상 1차 평가자를 특정하기 어려워 2차가 할 행동이 들여다보기로 끝난다(위로 올릴 3조건 중 ①③ 미충족). 상향 피드백 수집 방식과 저장 위치가 정해진 뒤 재검토 필요</t>
        </is>
      </c>
    </row>
    <row r="75" ht="58" customHeight="1">
      <c r="A75" s="3" t="inlineStr">
        <is>
          <t>피드백-HR경영진-01</t>
        </is>
      </c>
      <c r="B75" s="17" t="inlineStr">
        <is>
          <t>피드백</t>
        </is>
      </c>
      <c r="C75" s="17" t="inlineStr">
        <is>
          <t>HR·경영진</t>
        </is>
      </c>
      <c r="D75" s="17" t="inlineStr">
        <is>
          <t>① 때가 됐다</t>
        </is>
      </c>
      <c r="E75" s="3" t="inlineStr">
        <is>
          <t>결과 면담 기한이 다음 주에 끝나요</t>
        </is>
      </c>
      <c r="F75" s="3" t="inlineStr">
        <is>
          <t>면담 기한까지 5일, 전사 결과 면담 완료율 23% (제도 기준 기한 5일 전 70%); 완료 0건 조직 12개 / 38개; 기준 시점 2026-07-16</t>
        </is>
      </c>
      <c r="G75" s="3" t="inlineStr">
        <is>
          <t>결과 면담 기한까지 5일 이하 남았고 전사 면담 완료율이 70%에 못 미치며 완료 0건 조직이 5개 이상일 때</t>
        </is>
      </c>
      <c r="H75" s="17" t="inlineStr">
        <is>
          <t>제도 기준값</t>
        </is>
      </c>
      <c r="I75" s="3" t="inlineStr">
        <is>
          <t>피드백·면담 기한 일정; 면담 기록의 실시일과 참석자; 평가 확정 대상자 수; 조직별 대상 인원수</t>
        </is>
      </c>
      <c r="J75" s="3" t="inlineStr">
        <is>
          <t>조직별 면담 완료율; 완료 0건 조직 목록; 지난 사이클 같은 시점 완료율</t>
        </is>
      </c>
      <c r="K75" s="17" t="inlineStr">
        <is>
          <t>A3 보내기</t>
        </is>
      </c>
      <c r="L75" s="3" t="inlineStr">
        <is>
          <t>면담이 밀린 조직 12곳에 기한 안내를 보낼까요?</t>
        </is>
      </c>
      <c r="M75" s="3" t="inlineStr">
        <is>
          <t>기한 안내 메시지 발송 기록(보냄·받음) + 조직별 완료율 갱신 — 알림 발송 원장 신설 필요</t>
        </is>
      </c>
      <c r="N75" s="17" t="n">
        <v>3</v>
      </c>
      <c r="O75" s="17" t="n">
        <v>3</v>
      </c>
      <c r="P75" s="17" t="n">
        <v>1</v>
      </c>
      <c r="Q75" s="17">
        <f>N75+O75+P75</f>
        <v/>
      </c>
      <c r="R75" s="17" t="inlineStr">
        <is>
          <t>기초</t>
        </is>
      </c>
      <c r="S75" s="3" t="inlineStr">
        <is>
          <t>3일</t>
        </is>
      </c>
      <c r="T75" s="3" t="inlineStr">
        <is>
          <t>조직·전사 합계 기준 완료 0건 조직 5개 이상 또는 전사 완료율 70% 미만</t>
        </is>
      </c>
      <c r="U75" s="3" t="inlineStr">
        <is>
          <t>전사 완료율이 70%를 넘거나 면담 기한이 지나면</t>
        </is>
      </c>
      <c r="V75" s="3" t="inlineStr">
        <is>
          <t>피드백·면담 기한을 담은 일정 마스터가 없고 1on1·면담 합의 기록이 브라우저 80건 롤링이라 서버 보존 신설 필요 — 두 항목이 이 카드의 전제. 조직장(1차)의 팀원 면담 카드가 먼저 뜬다는 전제 아래 생성한다</t>
        </is>
      </c>
    </row>
    <row r="76" ht="58" customHeight="1">
      <c r="A76" s="3" t="inlineStr">
        <is>
          <t>피드백-HR경영진-02</t>
        </is>
      </c>
      <c r="B76" s="17" t="inlineStr">
        <is>
          <t>피드백</t>
        </is>
      </c>
      <c r="C76" s="17" t="inlineStr">
        <is>
          <t>HR·경영진</t>
        </is>
      </c>
      <c r="D76" s="17" t="inlineStr">
        <is>
          <t>② 비어 있다 / 멈췄다</t>
        </is>
      </c>
      <c r="E76" s="3" t="inlineStr">
        <is>
          <t>피드백이 한 번도 안 오간 조직이 있어요</t>
        </is>
      </c>
      <c r="F76" s="3" t="inlineStr">
        <is>
          <t>4개 조직 최근 60일 주고받은 피드백 0건 (전사 인당 1.4건); 대상 인원 47명; 기준 시점 2026-07-16</t>
        </is>
      </c>
      <c r="G76" s="3" t="inlineStr">
        <is>
          <t>한 조직에서 최근 60일 동안 주고받은 피드백이 한 건도 없고 그 조직 인원이 5명 이상일 때</t>
        </is>
      </c>
      <c r="H76" s="17" t="inlineStr">
        <is>
          <t>팀 평균</t>
        </is>
      </c>
      <c r="I76" s="3" t="inlineStr">
        <is>
          <t>피드백 기록의 보낸 사람·받는 사람과 등록일; 면담 기록의 실시일; 조직별 인원수; 조직 목록</t>
        </is>
      </c>
      <c r="J76" s="3" t="inlineStr">
        <is>
          <t>조직별 피드백 건수 분포; 해당 조직의 점검·평가 기록 건수; 피드백 제도 안내 문구</t>
        </is>
      </c>
      <c r="K76" s="17" t="inlineStr">
        <is>
          <t>A6 요청하기</t>
        </is>
      </c>
      <c r="L76" s="3" t="inlineStr">
        <is>
          <t>이 조직에 피드백 면담 실시를 요청할까요?</t>
        </is>
      </c>
      <c r="M76" s="3" t="inlineStr">
        <is>
          <t>피드백 면담 실시 요청 기록 + 조직별 이행 상태 — 요청 처리 원장과 피드백 보냄·받음 기록 신설 필요</t>
        </is>
      </c>
      <c r="N76" s="17" t="n">
        <v>3</v>
      </c>
      <c r="O76" s="17" t="n">
        <v>2</v>
      </c>
      <c r="P76" s="17" t="n">
        <v>2</v>
      </c>
      <c r="Q76" s="17">
        <f>N76+O76+P76</f>
        <v/>
      </c>
      <c r="R76" s="17" t="inlineStr">
        <is>
          <t>우리만 가능</t>
        </is>
      </c>
      <c r="S76" s="3" t="inlineStr">
        <is>
          <t>14일</t>
        </is>
      </c>
      <c r="T76" s="3" t="inlineStr">
        <is>
          <t>조직·전사 합계 기준 조직 인원 5명 이상이며 피드백 0건, 또는 그 조직 인원의 20% 이상이 0건</t>
        </is>
      </c>
      <c r="U76" s="3" t="inlineStr">
        <is>
          <t>해당 조직에 피드백 기록이 생기거나 요청 이행이 등록되면</t>
        </is>
      </c>
      <c r="V76" s="3" t="inlineStr">
        <is>
          <t>받은 피드백 기록 7건·상향 피드백 2건뿐이고 피드백 보냄·받음·열람 기록 자체가 없어 신설 필요. 1on1 기록도 브라우저 80건 롤링이라 서버 보존 필요. 조직장(1차)의 팀원 피드백 카드가 먼저 뜬다는 전제</t>
        </is>
      </c>
    </row>
    <row r="77" ht="58" customHeight="1">
      <c r="A77" s="3" t="inlineStr">
        <is>
          <t>피드백-HR경영진-03</t>
        </is>
      </c>
      <c r="B77" s="17" t="inlineStr">
        <is>
          <t>피드백</t>
        </is>
      </c>
      <c r="C77" s="17" t="inlineStr">
        <is>
          <t>HR·경영진</t>
        </is>
      </c>
      <c r="D77" s="17" t="inlineStr">
        <is>
          <t>③ 기준을 벗어났다</t>
        </is>
      </c>
      <c r="E77" s="3" t="inlineStr">
        <is>
          <t>다면 참여율이 세 조직에서 낮아요</t>
        </is>
      </c>
      <c r="F77" s="3" t="inlineStr">
        <is>
          <t>3개 조직 다면 리뷰 제출률 34% (제도 기준 80% 이상, 전사 71%); 미제출 28명; 기준 시점 2026-07-16</t>
        </is>
      </c>
      <c r="G77" s="3" t="inlineStr">
        <is>
          <t>다면 리뷰 기간에 한 조직의 제출률이 제도 기준인 80%에 못 미치고 미제출자가 5명 이상일 때</t>
        </is>
      </c>
      <c r="H77" s="17" t="inlineStr">
        <is>
          <t>제도 기준값</t>
        </is>
      </c>
      <c r="I77" s="3" t="inlineStr">
        <is>
          <t>다면 리뷰의 제출 여부와 제출일; 다면 대상 인원 명단; 조직별 인원수; 다면 리뷰 기간 일정</t>
        </is>
      </c>
      <c r="J77" s="3" t="inlineStr">
        <is>
          <t>조직별 제출률과 남은 건수; 미제출이 몰린 조직 목록; 지난 사이클 제출률</t>
        </is>
      </c>
      <c r="K77" s="17" t="inlineStr">
        <is>
          <t>A3 보내기</t>
        </is>
      </c>
      <c r="L77" s="3" t="inlineStr">
        <is>
          <t>제출률이 낮은 조직 3곳에 다면 참여 독려를 보낼까요?</t>
        </is>
      </c>
      <c r="M77" s="3" t="inlineStr">
        <is>
          <t>참여 독려 메시지 발송 기록(보냄·받음) + 조직별 제출률 갱신 — 알림 발송 원장 신설 필요</t>
        </is>
      </c>
      <c r="N77" s="17" t="n">
        <v>2</v>
      </c>
      <c r="O77" s="17" t="n">
        <v>2</v>
      </c>
      <c r="P77" s="17" t="n">
        <v>2</v>
      </c>
      <c r="Q77" s="17">
        <f>N77+O77+P77</f>
        <v/>
      </c>
      <c r="R77" s="17" t="inlineStr">
        <is>
          <t>우리만 가능</t>
        </is>
      </c>
      <c r="S77" s="3" t="inlineStr">
        <is>
          <t>14일</t>
        </is>
      </c>
      <c r="T77" s="3" t="inlineStr">
        <is>
          <t>조직·전사 합계 기준 조직당 미제출 5명 이상 또는 그 조직 인원의 20% 이상</t>
        </is>
      </c>
      <c r="U77" s="3" t="inlineStr">
        <is>
          <t>해당 조직 제출률이 80%를 넘거나 다면 기간이 끝나면</t>
        </is>
      </c>
      <c r="V77" s="3" t="inlineStr">
        <is>
          <t>다면(피어) 리뷰 55건이 13명 한정이고 다면진단 제출 결과가 현 데모에서 어디에도 저장되지 않아 제출 여부 저장 위치 확인·신설 필요. 다면 리뷰 기간 일정도 없음</t>
        </is>
      </c>
    </row>
    <row r="78" ht="58" customHeight="1">
      <c r="A78" s="3" t="inlineStr">
        <is>
          <t>피드백-HR경영진-04</t>
        </is>
      </c>
      <c r="B78" s="17" t="inlineStr">
        <is>
          <t>피드백</t>
        </is>
      </c>
      <c r="C78" s="17" t="inlineStr">
        <is>
          <t>HR·경영진</t>
        </is>
      </c>
      <c r="D78" s="17" t="inlineStr">
        <is>
          <t>④ 서로 안 맞는다</t>
        </is>
      </c>
      <c r="E78" s="3" t="inlineStr">
        <is>
          <t>낮은 등급에 설명이 없는 조직이 있어요</t>
        </is>
      </c>
      <c r="F78" s="3" t="inlineStr">
        <is>
          <t>2개 조직 하위 등급 대상자 14명 중 개발 코멘트나 면담 기록이 남은 사람 2명 (전사 78%); 기준 시점 2026-07-16</t>
        </is>
      </c>
      <c r="G78" s="3" t="inlineStr">
        <is>
          <t>한 조직에서 하위 등급을 받은 사람 가운데 개발 코멘트나 면담 기록이 남지 않은 비율이 50% 이상이고 그 인원이 5명 이상일 때</t>
        </is>
      </c>
      <c r="H78" s="17" t="inlineStr">
        <is>
          <t>팀 평균</t>
        </is>
      </c>
      <c r="I78" s="3" t="inlineStr">
        <is>
          <t>평가의 등급; 평가 근거 요약문과 개발 코멘트; 다면 리뷰의 개발 코멘트; 면담 기록의 실시 여부; 대상자 소속조직</t>
        </is>
      </c>
      <c r="J78" s="3" t="inlineStr">
        <is>
          <t>조직별 하위 등급 인원과 코멘트 누락 건수; 인용할 수 있는 점검·다면 기록; 결과 면담 안내 문구</t>
        </is>
      </c>
      <c r="K78" s="17" t="inlineStr">
        <is>
          <t>A6 요청하기</t>
        </is>
      </c>
      <c r="L78" s="3" t="inlineStr">
        <is>
          <t>이 조직에 결과 설명 면담과 개발 코멘트 보완을 요청할까요?</t>
        </is>
      </c>
      <c r="M78" s="3" t="inlineStr">
        <is>
          <t>면담·코멘트 보완 요청 기록 + 조직별 이행 상태 — 요청 처리 원장과 면담 기록 서버 보존 신설 필요</t>
        </is>
      </c>
      <c r="N78" s="17" t="n">
        <v>3</v>
      </c>
      <c r="O78" s="17" t="n">
        <v>2</v>
      </c>
      <c r="P78" s="17" t="n">
        <v>3</v>
      </c>
      <c r="Q78" s="17">
        <f>N78+O78+P78</f>
        <v/>
      </c>
      <c r="R78" s="17" t="inlineStr">
        <is>
          <t>우리만 가능</t>
        </is>
      </c>
      <c r="S78" s="3" t="inlineStr">
        <is>
          <t>14일</t>
        </is>
      </c>
      <c r="T78" s="3" t="inlineStr">
        <is>
          <t>조직·전사 합계 기준 조직당 대상 5명 이상 또는 그 조직 하위 등급 인원의 50% 이상</t>
        </is>
      </c>
      <c r="U78" s="3" t="inlineStr">
        <is>
          <t>해당 조직의 코멘트 누락이 기준 아래로 줄어들거나 면담 기록이 등록되면</t>
        </is>
      </c>
      <c r="V78" s="3" t="inlineStr">
        <is>
          <t>등급은 평가 221건에 있으나 개발 코멘트는 다면 리뷰 55건(13명)에만 있고 면담 기록은 브라우저 80건 롤링이라 두 원천의 서버 보존과 연결 확인 필요. 개인 이름은 카드에 노출하지 않고 조직 단위 건수만 보여준다. 조직장(1차)이 팀원별 면담 카드를 먼저 받는다는 전제</t>
        </is>
      </c>
    </row>
  </sheetData>
  <autoFilter ref="A2:V78"/>
  <mergeCells count="4">
    <mergeCell ref="J1:M1"/>
    <mergeCell ref="A1:F1"/>
    <mergeCell ref="G1:I1"/>
    <mergeCell ref="N1:V1"/>
  </mergeCells>
  <conditionalFormatting sqref="A3:V108">
    <cfRule type="expression" priority="1" dxfId="0">
      <formula>$R3="제외"</formula>
    </cfRule>
  </conditionalFormatting>
  <conditionalFormatting sqref="M3:M108">
    <cfRule type="expression" priority="2" dxfId="1">
      <formula>AND($A3&lt;&gt;"",$R3&lt;&gt;"제외",$M3="")</formula>
    </cfRule>
  </conditionalFormatting>
  <conditionalFormatting sqref="V3:V108">
    <cfRule type="expression" priority="3" dxfId="2">
      <formula>AND($V3&lt;&gt;"",$V3&lt;&gt;"-")</formula>
    </cfRule>
  </conditionalFormatting>
  <dataValidations count="7">
    <dataValidation sqref="B3:B108" showDropDown="0" showInputMessage="0" showErrorMessage="0" allowBlank="1" error="목록에 있는 값만 쓸 수 있습니다." type="list">
      <formula1>"목표수립,중간점검,평가,피드백"</formula1>
    </dataValidation>
    <dataValidation sqref="C3:C108" showDropDown="0" showInputMessage="0" showErrorMessage="0" allowBlank="1" error="목록에 있는 값만 쓸 수 있습니다." type="list">
      <formula1>"조직원,조직장(1차),조직장(2차),HR·경영진"</formula1>
    </dataValidation>
    <dataValidation sqref="D3:D108" showDropDown="0" showInputMessage="0" showErrorMessage="0" allowBlank="1" error="목록에 있는 값만 쓸 수 있습니다." type="list">
      <formula1>"① 때가 됐다,② 비어 있다 / 멈췄다,③ 기준을 벗어났다,④ 서로 안 맞는다,⑤ 무슨 일이 생겼다"</formula1>
    </dataValidation>
    <dataValidation sqref="H3:H108" showDropDown="0" showInputMessage="0" showErrorMessage="0" allowBlank="1" error="목록에 있는 값만 쓸 수 있습니다." type="list">
      <formula1>"본인 예전 기록,팀 평균,계획 대비,제도 기준값,없음"</formula1>
    </dataValidation>
    <dataValidation sqref="K3:K108" showDropDown="0" showInputMessage="0" showErrorMessage="0" allowBlank="1" error="목록에 있는 값만 쓸 수 있습니다." type="list">
      <formula1>"A1 쓰기,A2 고치기·맞추기,A3 보내기,A4 대화 잡기,A5 들여다보기,A6 요청하기"</formula1>
    </dataValidation>
    <dataValidation sqref="R3:R108" showDropDown="0" showInputMessage="0" showErrorMessage="0" allowBlank="1" error="목록에 있는 값만 쓸 수 있습니다." type="list">
      <formula1>"기초,우리만 가능,제외"</formula1>
    </dataValidation>
    <dataValidation sqref="N3:N108 O3:O108 P3:P108" showDropDown="0" showInputMessage="0" showErrorMessage="0" allowBlank="1" error="1~3 점수만 입력합니다." type="whole" operator="between">
      <formula1>1</formula1>
      <formula2>3</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O48"/>
  <sheetViews>
    <sheetView showGridLines="0" workbookViewId="0">
      <selection activeCell="A1" sqref="A1"/>
    </sheetView>
  </sheetViews>
  <sheetFormatPr baseColWidth="8" defaultRowHeight="15"/>
  <cols>
    <col width="3" customWidth="1" min="1" max="1"/>
    <col width="14"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44" customWidth="1" min="15" max="15"/>
  </cols>
  <sheetData>
    <row r="2">
      <c r="B2" s="1" t="inlineStr">
        <is>
          <t>02 칸 점검 — 16칸이 얼마나 채워졌나</t>
        </is>
      </c>
    </row>
    <row r="3">
      <c r="B3" s="8" t="inlineStr">
        <is>
          <t>4단계 × 4주체 = 16칸. 칸별 목표 = 기초 1개 + 우리만 가능한 것 1개 이상. 숫자는 01_신호목록에서 자동 집계된다(제외 판정은 세지 않는다).</t>
        </is>
      </c>
    </row>
    <row r="5">
      <c r="B5" s="18" t="inlineStr">
        <is>
          <t>단계 \ 주체</t>
        </is>
      </c>
      <c r="C5" s="2" t="inlineStr">
        <is>
          <t>조직원</t>
        </is>
      </c>
      <c r="F5" s="2" t="inlineStr">
        <is>
          <t>조직장(1차)</t>
        </is>
      </c>
      <c r="I5" s="2" t="inlineStr">
        <is>
          <t>조직장(2차)</t>
        </is>
      </c>
      <c r="L5" s="2" t="inlineStr">
        <is>
          <t>HR·경영진</t>
        </is>
      </c>
    </row>
    <row r="6">
      <c r="B6" s="19" t="inlineStr"/>
      <c r="C6" s="18" t="inlineStr">
        <is>
          <t>건수</t>
        </is>
      </c>
      <c r="D6" s="18" t="inlineStr">
        <is>
          <t>기초</t>
        </is>
      </c>
      <c r="E6" s="18" t="inlineStr">
        <is>
          <t>우리만</t>
        </is>
      </c>
      <c r="F6" s="18" t="inlineStr">
        <is>
          <t>건수</t>
        </is>
      </c>
      <c r="G6" s="18" t="inlineStr">
        <is>
          <t>기초</t>
        </is>
      </c>
      <c r="H6" s="18" t="inlineStr">
        <is>
          <t>우리만</t>
        </is>
      </c>
      <c r="I6" s="18" t="inlineStr">
        <is>
          <t>건수</t>
        </is>
      </c>
      <c r="J6" s="18" t="inlineStr">
        <is>
          <t>기초</t>
        </is>
      </c>
      <c r="K6" s="18" t="inlineStr">
        <is>
          <t>우리만</t>
        </is>
      </c>
      <c r="L6" s="18" t="inlineStr">
        <is>
          <t>건수</t>
        </is>
      </c>
      <c r="M6" s="18" t="inlineStr">
        <is>
          <t>기초</t>
        </is>
      </c>
      <c r="N6" s="18" t="inlineStr">
        <is>
          <t>우리만</t>
        </is>
      </c>
      <c r="O6" s="18" t="inlineStr">
        <is>
          <t>미달 칸</t>
        </is>
      </c>
    </row>
    <row r="7">
      <c r="B7" s="20" t="inlineStr">
        <is>
          <t>목표수립</t>
        </is>
      </c>
      <c r="C7" s="17">
        <f>COUNTIFS('01_신호목록'!B3:B78,"목표수립",'01_신호목록'!C3:C78,"조직원",'01_신호목록'!R3:R78,"&lt;&gt;제외")</f>
        <v/>
      </c>
      <c r="D7" s="17">
        <f>COUNTIFS('01_신호목록'!B3:B78,"목표수립",'01_신호목록'!C3:C78,"조직원",'01_신호목록'!R3:R78,"기초")</f>
        <v/>
      </c>
      <c r="E7" s="17">
        <f>COUNTIFS('01_신호목록'!B3:B78,"목표수립",'01_신호목록'!C3:C78,"조직원",'01_신호목록'!R3:R78,"우리만 가능")</f>
        <v/>
      </c>
      <c r="F7" s="17">
        <f>COUNTIFS('01_신호목록'!B3:B78,"목표수립",'01_신호목록'!C3:C78,"조직장(1차)",'01_신호목록'!R3:R78,"&lt;&gt;제외")</f>
        <v/>
      </c>
      <c r="G7" s="17">
        <f>COUNTIFS('01_신호목록'!B3:B78,"목표수립",'01_신호목록'!C3:C78,"조직장(1차)",'01_신호목록'!R3:R78,"기초")</f>
        <v/>
      </c>
      <c r="H7" s="17">
        <f>COUNTIFS('01_신호목록'!B3:B78,"목표수립",'01_신호목록'!C3:C78,"조직장(1차)",'01_신호목록'!R3:R78,"우리만 가능")</f>
        <v/>
      </c>
      <c r="I7" s="17">
        <f>COUNTIFS('01_신호목록'!B3:B78,"목표수립",'01_신호목록'!C3:C78,"조직장(2차)",'01_신호목록'!R3:R78,"&lt;&gt;제외")</f>
        <v/>
      </c>
      <c r="J7" s="17">
        <f>COUNTIFS('01_신호목록'!B3:B78,"목표수립",'01_신호목록'!C3:C78,"조직장(2차)",'01_신호목록'!R3:R78,"기초")</f>
        <v/>
      </c>
      <c r="K7" s="17">
        <f>COUNTIFS('01_신호목록'!B3:B78,"목표수립",'01_신호목록'!C3:C78,"조직장(2차)",'01_신호목록'!R3:R78,"우리만 가능")</f>
        <v/>
      </c>
      <c r="L7" s="17">
        <f>COUNTIFS('01_신호목록'!B3:B78,"목표수립",'01_신호목록'!C3:C78,"HR·경영진",'01_신호목록'!R3:R78,"&lt;&gt;제외")</f>
        <v/>
      </c>
      <c r="M7" s="17">
        <f>COUNTIFS('01_신호목록'!B3:B78,"목표수립",'01_신호목록'!C3:C78,"HR·경영진",'01_신호목록'!R3:R78,"기초")</f>
        <v/>
      </c>
      <c r="N7" s="17">
        <f>COUNTIFS('01_신호목록'!B3:B78,"목표수립",'01_신호목록'!C3:C78,"HR·경영진",'01_신호목록'!R3:R78,"우리만 가능")</f>
        <v/>
      </c>
      <c r="O7" s="3">
        <f>TRIM(CONCATENATE(IF(OR(D7=0,E7=0),"조직원 ",""),IF(OR(G7=0,H7=0),"조직장(1차) ",""),IF(OR(J7=0,K7=0),"조직장(2차) ",""),IF(OR(M7=0,N7=0),"HR·경영진 ","")))</f>
        <v/>
      </c>
    </row>
    <row r="8">
      <c r="B8" s="20" t="inlineStr">
        <is>
          <t>중간점검</t>
        </is>
      </c>
      <c r="C8" s="17">
        <f>COUNTIFS('01_신호목록'!B3:B78,"중간점검",'01_신호목록'!C3:C78,"조직원",'01_신호목록'!R3:R78,"&lt;&gt;제외")</f>
        <v/>
      </c>
      <c r="D8" s="17">
        <f>COUNTIFS('01_신호목록'!B3:B78,"중간점검",'01_신호목록'!C3:C78,"조직원",'01_신호목록'!R3:R78,"기초")</f>
        <v/>
      </c>
      <c r="E8" s="17">
        <f>COUNTIFS('01_신호목록'!B3:B78,"중간점검",'01_신호목록'!C3:C78,"조직원",'01_신호목록'!R3:R78,"우리만 가능")</f>
        <v/>
      </c>
      <c r="F8" s="17">
        <f>COUNTIFS('01_신호목록'!B3:B78,"중간점검",'01_신호목록'!C3:C78,"조직장(1차)",'01_신호목록'!R3:R78,"&lt;&gt;제외")</f>
        <v/>
      </c>
      <c r="G8" s="17">
        <f>COUNTIFS('01_신호목록'!B3:B78,"중간점검",'01_신호목록'!C3:C78,"조직장(1차)",'01_신호목록'!R3:R78,"기초")</f>
        <v/>
      </c>
      <c r="H8" s="17">
        <f>COUNTIFS('01_신호목록'!B3:B78,"중간점검",'01_신호목록'!C3:C78,"조직장(1차)",'01_신호목록'!R3:R78,"우리만 가능")</f>
        <v/>
      </c>
      <c r="I8" s="17">
        <f>COUNTIFS('01_신호목록'!B3:B78,"중간점검",'01_신호목록'!C3:C78,"조직장(2차)",'01_신호목록'!R3:R78,"&lt;&gt;제외")</f>
        <v/>
      </c>
      <c r="J8" s="17">
        <f>COUNTIFS('01_신호목록'!B3:B78,"중간점검",'01_신호목록'!C3:C78,"조직장(2차)",'01_신호목록'!R3:R78,"기초")</f>
        <v/>
      </c>
      <c r="K8" s="17">
        <f>COUNTIFS('01_신호목록'!B3:B78,"중간점검",'01_신호목록'!C3:C78,"조직장(2차)",'01_신호목록'!R3:R78,"우리만 가능")</f>
        <v/>
      </c>
      <c r="L8" s="17">
        <f>COUNTIFS('01_신호목록'!B3:B78,"중간점검",'01_신호목록'!C3:C78,"HR·경영진",'01_신호목록'!R3:R78,"&lt;&gt;제외")</f>
        <v/>
      </c>
      <c r="M8" s="17">
        <f>COUNTIFS('01_신호목록'!B3:B78,"중간점검",'01_신호목록'!C3:C78,"HR·경영진",'01_신호목록'!R3:R78,"기초")</f>
        <v/>
      </c>
      <c r="N8" s="17">
        <f>COUNTIFS('01_신호목록'!B3:B78,"중간점검",'01_신호목록'!C3:C78,"HR·경영진",'01_신호목록'!R3:R78,"우리만 가능")</f>
        <v/>
      </c>
      <c r="O8" s="3">
        <f>TRIM(CONCATENATE(IF(OR(D8=0,E8=0),"조직원 ",""),IF(OR(G8=0,H8=0),"조직장(1차) ",""),IF(OR(J8=0,K8=0),"조직장(2차) ",""),IF(OR(M8=0,N8=0),"HR·경영진 ","")))</f>
        <v/>
      </c>
    </row>
    <row r="9">
      <c r="B9" s="20" t="inlineStr">
        <is>
          <t>평가</t>
        </is>
      </c>
      <c r="C9" s="17">
        <f>COUNTIFS('01_신호목록'!B3:B78,"평가",'01_신호목록'!C3:C78,"조직원",'01_신호목록'!R3:R78,"&lt;&gt;제외")</f>
        <v/>
      </c>
      <c r="D9" s="17">
        <f>COUNTIFS('01_신호목록'!B3:B78,"평가",'01_신호목록'!C3:C78,"조직원",'01_신호목록'!R3:R78,"기초")</f>
        <v/>
      </c>
      <c r="E9" s="17">
        <f>COUNTIFS('01_신호목록'!B3:B78,"평가",'01_신호목록'!C3:C78,"조직원",'01_신호목록'!R3:R78,"우리만 가능")</f>
        <v/>
      </c>
      <c r="F9" s="17">
        <f>COUNTIFS('01_신호목록'!B3:B78,"평가",'01_신호목록'!C3:C78,"조직장(1차)",'01_신호목록'!R3:R78,"&lt;&gt;제외")</f>
        <v/>
      </c>
      <c r="G9" s="17">
        <f>COUNTIFS('01_신호목록'!B3:B78,"평가",'01_신호목록'!C3:C78,"조직장(1차)",'01_신호목록'!R3:R78,"기초")</f>
        <v/>
      </c>
      <c r="H9" s="17">
        <f>COUNTIFS('01_신호목록'!B3:B78,"평가",'01_신호목록'!C3:C78,"조직장(1차)",'01_신호목록'!R3:R78,"우리만 가능")</f>
        <v/>
      </c>
      <c r="I9" s="17">
        <f>COUNTIFS('01_신호목록'!B3:B78,"평가",'01_신호목록'!C3:C78,"조직장(2차)",'01_신호목록'!R3:R78,"&lt;&gt;제외")</f>
        <v/>
      </c>
      <c r="J9" s="17">
        <f>COUNTIFS('01_신호목록'!B3:B78,"평가",'01_신호목록'!C3:C78,"조직장(2차)",'01_신호목록'!R3:R78,"기초")</f>
        <v/>
      </c>
      <c r="K9" s="17">
        <f>COUNTIFS('01_신호목록'!B3:B78,"평가",'01_신호목록'!C3:C78,"조직장(2차)",'01_신호목록'!R3:R78,"우리만 가능")</f>
        <v/>
      </c>
      <c r="L9" s="17">
        <f>COUNTIFS('01_신호목록'!B3:B78,"평가",'01_신호목록'!C3:C78,"HR·경영진",'01_신호목록'!R3:R78,"&lt;&gt;제외")</f>
        <v/>
      </c>
      <c r="M9" s="17">
        <f>COUNTIFS('01_신호목록'!B3:B78,"평가",'01_신호목록'!C3:C78,"HR·경영진",'01_신호목록'!R3:R78,"기초")</f>
        <v/>
      </c>
      <c r="N9" s="17">
        <f>COUNTIFS('01_신호목록'!B3:B78,"평가",'01_신호목록'!C3:C78,"HR·경영진",'01_신호목록'!R3:R78,"우리만 가능")</f>
        <v/>
      </c>
      <c r="O9" s="3">
        <f>TRIM(CONCATENATE(IF(OR(D9=0,E9=0),"조직원 ",""),IF(OR(G9=0,H9=0),"조직장(1차) ",""),IF(OR(J9=0,K9=0),"조직장(2차) ",""),IF(OR(M9=0,N9=0),"HR·경영진 ","")))</f>
        <v/>
      </c>
    </row>
    <row r="10">
      <c r="B10" s="20" t="inlineStr">
        <is>
          <t>피드백</t>
        </is>
      </c>
      <c r="C10" s="17">
        <f>COUNTIFS('01_신호목록'!B3:B78,"피드백",'01_신호목록'!C3:C78,"조직원",'01_신호목록'!R3:R78,"&lt;&gt;제외")</f>
        <v/>
      </c>
      <c r="D10" s="17">
        <f>COUNTIFS('01_신호목록'!B3:B78,"피드백",'01_신호목록'!C3:C78,"조직원",'01_신호목록'!R3:R78,"기초")</f>
        <v/>
      </c>
      <c r="E10" s="17">
        <f>COUNTIFS('01_신호목록'!B3:B78,"피드백",'01_신호목록'!C3:C78,"조직원",'01_신호목록'!R3:R78,"우리만 가능")</f>
        <v/>
      </c>
      <c r="F10" s="17">
        <f>COUNTIFS('01_신호목록'!B3:B78,"피드백",'01_신호목록'!C3:C78,"조직장(1차)",'01_신호목록'!R3:R78,"&lt;&gt;제외")</f>
        <v/>
      </c>
      <c r="G10" s="17">
        <f>COUNTIFS('01_신호목록'!B3:B78,"피드백",'01_신호목록'!C3:C78,"조직장(1차)",'01_신호목록'!R3:R78,"기초")</f>
        <v/>
      </c>
      <c r="H10" s="17">
        <f>COUNTIFS('01_신호목록'!B3:B78,"피드백",'01_신호목록'!C3:C78,"조직장(1차)",'01_신호목록'!R3:R78,"우리만 가능")</f>
        <v/>
      </c>
      <c r="I10" s="17">
        <f>COUNTIFS('01_신호목록'!B3:B78,"피드백",'01_신호목록'!C3:C78,"조직장(2차)",'01_신호목록'!R3:R78,"&lt;&gt;제외")</f>
        <v/>
      </c>
      <c r="J10" s="17">
        <f>COUNTIFS('01_신호목록'!B3:B78,"피드백",'01_신호목록'!C3:C78,"조직장(2차)",'01_신호목록'!R3:R78,"기초")</f>
        <v/>
      </c>
      <c r="K10" s="17">
        <f>COUNTIFS('01_신호목록'!B3:B78,"피드백",'01_신호목록'!C3:C78,"조직장(2차)",'01_신호목록'!R3:R78,"우리만 가능")</f>
        <v/>
      </c>
      <c r="L10" s="17">
        <f>COUNTIFS('01_신호목록'!B3:B78,"피드백",'01_신호목록'!C3:C78,"HR·경영진",'01_신호목록'!R3:R78,"&lt;&gt;제외")</f>
        <v/>
      </c>
      <c r="M10" s="17">
        <f>COUNTIFS('01_신호목록'!B3:B78,"피드백",'01_신호목록'!C3:C78,"HR·경영진",'01_신호목록'!R3:R78,"기초")</f>
        <v/>
      </c>
      <c r="N10" s="17">
        <f>COUNTIFS('01_신호목록'!B3:B78,"피드백",'01_신호목록'!C3:C78,"HR·경영진",'01_신호목록'!R3:R78,"우리만 가능")</f>
        <v/>
      </c>
      <c r="O10" s="3">
        <f>TRIM(CONCATENATE(IF(OR(D10=0,E10=0),"조직원 ",""),IF(OR(G10=0,H10=0),"조직장(1차) ",""),IF(OR(J10=0,K10=0),"조직장(2차) ",""),IF(OR(M10=0,N10=0),"HR·경영진 ","")))</f>
        <v/>
      </c>
    </row>
    <row r="12">
      <c r="B12" s="8" t="inlineStr">
        <is>
          <t>기초 또는 우리만 가능이 0인 칸은 "미달 칸"에 주체 이름이 뜬다. 그 칸은 아래 "빈칸 사유"에 왜 비었는지가 적혀 있어야 한다.</t>
        </is>
      </c>
    </row>
    <row r="14">
      <c r="B14" s="5" t="inlineStr">
        <is>
          <t>80 스캔포인트 — 16칸 × 변화 5유형을 훑은 결과</t>
        </is>
      </c>
    </row>
    <row r="15">
      <c r="B15" s="8" t="inlineStr">
        <is>
          <t>숫자 = 채택된 알림 수. 0은 훑었으나 만들지 않았다는 뜻이며, 사유는 아래 표에 있다.</t>
        </is>
      </c>
    </row>
    <row r="16" ht="30" customHeight="1">
      <c r="B16" s="11" t="inlineStr">
        <is>
          <t>단계</t>
        </is>
      </c>
      <c r="C16" s="11" t="inlineStr">
        <is>
          <t>주체</t>
        </is>
      </c>
      <c r="D16" s="11" t="inlineStr">
        <is>
          <t>①때가됐다</t>
        </is>
      </c>
      <c r="E16" s="11" t="inlineStr">
        <is>
          <t>②비어있다</t>
        </is>
      </c>
      <c r="F16" s="11" t="inlineStr">
        <is>
          <t>③기준이탈</t>
        </is>
      </c>
      <c r="G16" s="11" t="inlineStr">
        <is>
          <t>④안맞는다</t>
        </is>
      </c>
      <c r="H16" s="11" t="inlineStr">
        <is>
          <t>⑤일이생겼다</t>
        </is>
      </c>
      <c r="I16" s="11" t="inlineStr">
        <is>
          <t>소계</t>
        </is>
      </c>
    </row>
    <row r="17">
      <c r="B17" s="17" t="inlineStr">
        <is>
          <t>목표수립</t>
        </is>
      </c>
      <c r="C17" s="17" t="inlineStr">
        <is>
          <t>조직원</t>
        </is>
      </c>
      <c r="D17" s="17">
        <f>COUNTIFS('01_신호목록'!B3:B78,"목표수립",'01_신호목록'!C3:C78,"조직원",'01_신호목록'!D3:D78,"① 때가 됐다",'01_신호목록'!R3:R78,"&lt;&gt;제외")</f>
        <v/>
      </c>
      <c r="E17" s="17">
        <f>COUNTIFS('01_신호목록'!B3:B78,"목표수립",'01_신호목록'!C3:C78,"조직원",'01_신호목록'!D3:D78,"② 비어 있다 / 멈췄다",'01_신호목록'!R3:R78,"&lt;&gt;제외")</f>
        <v/>
      </c>
      <c r="F17" s="17">
        <f>COUNTIFS('01_신호목록'!B3:B78,"목표수립",'01_신호목록'!C3:C78,"조직원",'01_신호목록'!D3:D78,"③ 기준을 벗어났다",'01_신호목록'!R3:R78,"&lt;&gt;제외")</f>
        <v/>
      </c>
      <c r="G17" s="17">
        <f>COUNTIFS('01_신호목록'!B3:B78,"목표수립",'01_신호목록'!C3:C78,"조직원",'01_신호목록'!D3:D78,"④ 서로 안 맞는다",'01_신호목록'!R3:R78,"&lt;&gt;제외")</f>
        <v/>
      </c>
      <c r="H17" s="17">
        <f>COUNTIFS('01_신호목록'!B3:B78,"목표수립",'01_신호목록'!C3:C78,"조직원",'01_신호목록'!D3:D78,"⑤ 무슨 일이 생겼다",'01_신호목록'!R3:R78,"&lt;&gt;제외")</f>
        <v/>
      </c>
      <c r="I17" s="21">
        <f>SUM(D17:H17)</f>
        <v/>
      </c>
    </row>
    <row r="18">
      <c r="B18" s="17" t="inlineStr">
        <is>
          <t>목표수립</t>
        </is>
      </c>
      <c r="C18" s="17" t="inlineStr">
        <is>
          <t>조직장(1차)</t>
        </is>
      </c>
      <c r="D18" s="17">
        <f>COUNTIFS('01_신호목록'!B3:B78,"목표수립",'01_신호목록'!C3:C78,"조직장(1차)",'01_신호목록'!D3:D78,"① 때가 됐다",'01_신호목록'!R3:R78,"&lt;&gt;제외")</f>
        <v/>
      </c>
      <c r="E18" s="17">
        <f>COUNTIFS('01_신호목록'!B3:B78,"목표수립",'01_신호목록'!C3:C78,"조직장(1차)",'01_신호목록'!D3:D78,"② 비어 있다 / 멈췄다",'01_신호목록'!R3:R78,"&lt;&gt;제외")</f>
        <v/>
      </c>
      <c r="F18" s="17">
        <f>COUNTIFS('01_신호목록'!B3:B78,"목표수립",'01_신호목록'!C3:C78,"조직장(1차)",'01_신호목록'!D3:D78,"③ 기준을 벗어났다",'01_신호목록'!R3:R78,"&lt;&gt;제외")</f>
        <v/>
      </c>
      <c r="G18" s="17">
        <f>COUNTIFS('01_신호목록'!B3:B78,"목표수립",'01_신호목록'!C3:C78,"조직장(1차)",'01_신호목록'!D3:D78,"④ 서로 안 맞는다",'01_신호목록'!R3:R78,"&lt;&gt;제외")</f>
        <v/>
      </c>
      <c r="H18" s="17">
        <f>COUNTIFS('01_신호목록'!B3:B78,"목표수립",'01_신호목록'!C3:C78,"조직장(1차)",'01_신호목록'!D3:D78,"⑤ 무슨 일이 생겼다",'01_신호목록'!R3:R78,"&lt;&gt;제외")</f>
        <v/>
      </c>
      <c r="I18" s="21">
        <f>SUM(D18:H18)</f>
        <v/>
      </c>
    </row>
    <row r="19">
      <c r="B19" s="17" t="inlineStr">
        <is>
          <t>목표수립</t>
        </is>
      </c>
      <c r="C19" s="17" t="inlineStr">
        <is>
          <t>조직장(2차)</t>
        </is>
      </c>
      <c r="D19" s="17">
        <f>COUNTIFS('01_신호목록'!B3:B78,"목표수립",'01_신호목록'!C3:C78,"조직장(2차)",'01_신호목록'!D3:D78,"① 때가 됐다",'01_신호목록'!R3:R78,"&lt;&gt;제외")</f>
        <v/>
      </c>
      <c r="E19" s="17">
        <f>COUNTIFS('01_신호목록'!B3:B78,"목표수립",'01_신호목록'!C3:C78,"조직장(2차)",'01_신호목록'!D3:D78,"② 비어 있다 / 멈췄다",'01_신호목록'!R3:R78,"&lt;&gt;제외")</f>
        <v/>
      </c>
      <c r="F19" s="17">
        <f>COUNTIFS('01_신호목록'!B3:B78,"목표수립",'01_신호목록'!C3:C78,"조직장(2차)",'01_신호목록'!D3:D78,"③ 기준을 벗어났다",'01_신호목록'!R3:R78,"&lt;&gt;제외")</f>
        <v/>
      </c>
      <c r="G19" s="17">
        <f>COUNTIFS('01_신호목록'!B3:B78,"목표수립",'01_신호목록'!C3:C78,"조직장(2차)",'01_신호목록'!D3:D78,"④ 서로 안 맞는다",'01_신호목록'!R3:R78,"&lt;&gt;제외")</f>
        <v/>
      </c>
      <c r="H19" s="17">
        <f>COUNTIFS('01_신호목록'!B3:B78,"목표수립",'01_신호목록'!C3:C78,"조직장(2차)",'01_신호목록'!D3:D78,"⑤ 무슨 일이 생겼다",'01_신호목록'!R3:R78,"&lt;&gt;제외")</f>
        <v/>
      </c>
      <c r="I19" s="21">
        <f>SUM(D19:H19)</f>
        <v/>
      </c>
    </row>
    <row r="20">
      <c r="B20" s="17" t="inlineStr">
        <is>
          <t>목표수립</t>
        </is>
      </c>
      <c r="C20" s="17" t="inlineStr">
        <is>
          <t>HR·경영진</t>
        </is>
      </c>
      <c r="D20" s="17">
        <f>COUNTIFS('01_신호목록'!B3:B78,"목표수립",'01_신호목록'!C3:C78,"HR·경영진",'01_신호목록'!D3:D78,"① 때가 됐다",'01_신호목록'!R3:R78,"&lt;&gt;제외")</f>
        <v/>
      </c>
      <c r="E20" s="17">
        <f>COUNTIFS('01_신호목록'!B3:B78,"목표수립",'01_신호목록'!C3:C78,"HR·경영진",'01_신호목록'!D3:D78,"② 비어 있다 / 멈췄다",'01_신호목록'!R3:R78,"&lt;&gt;제외")</f>
        <v/>
      </c>
      <c r="F20" s="17">
        <f>COUNTIFS('01_신호목록'!B3:B78,"목표수립",'01_신호목록'!C3:C78,"HR·경영진",'01_신호목록'!D3:D78,"③ 기준을 벗어났다",'01_신호목록'!R3:R78,"&lt;&gt;제외")</f>
        <v/>
      </c>
      <c r="G20" s="17">
        <f>COUNTIFS('01_신호목록'!B3:B78,"목표수립",'01_신호목록'!C3:C78,"HR·경영진",'01_신호목록'!D3:D78,"④ 서로 안 맞는다",'01_신호목록'!R3:R78,"&lt;&gt;제외")</f>
        <v/>
      </c>
      <c r="H20" s="17">
        <f>COUNTIFS('01_신호목록'!B3:B78,"목표수립",'01_신호목록'!C3:C78,"HR·경영진",'01_신호목록'!D3:D78,"⑤ 무슨 일이 생겼다",'01_신호목록'!R3:R78,"&lt;&gt;제외")</f>
        <v/>
      </c>
      <c r="I20" s="21">
        <f>SUM(D20:H20)</f>
        <v/>
      </c>
    </row>
    <row r="21">
      <c r="B21" s="17" t="inlineStr">
        <is>
          <t>중간점검</t>
        </is>
      </c>
      <c r="C21" s="17" t="inlineStr">
        <is>
          <t>조직원</t>
        </is>
      </c>
      <c r="D21" s="17">
        <f>COUNTIFS('01_신호목록'!B3:B78,"중간점검",'01_신호목록'!C3:C78,"조직원",'01_신호목록'!D3:D78,"① 때가 됐다",'01_신호목록'!R3:R78,"&lt;&gt;제외")</f>
        <v/>
      </c>
      <c r="E21" s="17">
        <f>COUNTIFS('01_신호목록'!B3:B78,"중간점검",'01_신호목록'!C3:C78,"조직원",'01_신호목록'!D3:D78,"② 비어 있다 / 멈췄다",'01_신호목록'!R3:R78,"&lt;&gt;제외")</f>
        <v/>
      </c>
      <c r="F21" s="17">
        <f>COUNTIFS('01_신호목록'!B3:B78,"중간점검",'01_신호목록'!C3:C78,"조직원",'01_신호목록'!D3:D78,"③ 기준을 벗어났다",'01_신호목록'!R3:R78,"&lt;&gt;제외")</f>
        <v/>
      </c>
      <c r="G21" s="17">
        <f>COUNTIFS('01_신호목록'!B3:B78,"중간점검",'01_신호목록'!C3:C78,"조직원",'01_신호목록'!D3:D78,"④ 서로 안 맞는다",'01_신호목록'!R3:R78,"&lt;&gt;제외")</f>
        <v/>
      </c>
      <c r="H21" s="17">
        <f>COUNTIFS('01_신호목록'!B3:B78,"중간점검",'01_신호목록'!C3:C78,"조직원",'01_신호목록'!D3:D78,"⑤ 무슨 일이 생겼다",'01_신호목록'!R3:R78,"&lt;&gt;제외")</f>
        <v/>
      </c>
      <c r="I21" s="21">
        <f>SUM(D21:H21)</f>
        <v/>
      </c>
    </row>
    <row r="22">
      <c r="B22" s="17" t="inlineStr">
        <is>
          <t>중간점검</t>
        </is>
      </c>
      <c r="C22" s="17" t="inlineStr">
        <is>
          <t>조직장(1차)</t>
        </is>
      </c>
      <c r="D22" s="17">
        <f>COUNTIFS('01_신호목록'!B3:B78,"중간점검",'01_신호목록'!C3:C78,"조직장(1차)",'01_신호목록'!D3:D78,"① 때가 됐다",'01_신호목록'!R3:R78,"&lt;&gt;제외")</f>
        <v/>
      </c>
      <c r="E22" s="17">
        <f>COUNTIFS('01_신호목록'!B3:B78,"중간점검",'01_신호목록'!C3:C78,"조직장(1차)",'01_신호목록'!D3:D78,"② 비어 있다 / 멈췄다",'01_신호목록'!R3:R78,"&lt;&gt;제외")</f>
        <v/>
      </c>
      <c r="F22" s="17">
        <f>COUNTIFS('01_신호목록'!B3:B78,"중간점검",'01_신호목록'!C3:C78,"조직장(1차)",'01_신호목록'!D3:D78,"③ 기준을 벗어났다",'01_신호목록'!R3:R78,"&lt;&gt;제외")</f>
        <v/>
      </c>
      <c r="G22" s="17">
        <f>COUNTIFS('01_신호목록'!B3:B78,"중간점검",'01_신호목록'!C3:C78,"조직장(1차)",'01_신호목록'!D3:D78,"④ 서로 안 맞는다",'01_신호목록'!R3:R78,"&lt;&gt;제외")</f>
        <v/>
      </c>
      <c r="H22" s="17">
        <f>COUNTIFS('01_신호목록'!B3:B78,"중간점검",'01_신호목록'!C3:C78,"조직장(1차)",'01_신호목록'!D3:D78,"⑤ 무슨 일이 생겼다",'01_신호목록'!R3:R78,"&lt;&gt;제외")</f>
        <v/>
      </c>
      <c r="I22" s="21">
        <f>SUM(D22:H22)</f>
        <v/>
      </c>
    </row>
    <row r="23">
      <c r="B23" s="17" t="inlineStr">
        <is>
          <t>중간점검</t>
        </is>
      </c>
      <c r="C23" s="17" t="inlineStr">
        <is>
          <t>조직장(2차)</t>
        </is>
      </c>
      <c r="D23" s="17">
        <f>COUNTIFS('01_신호목록'!B3:B78,"중간점검",'01_신호목록'!C3:C78,"조직장(2차)",'01_신호목록'!D3:D78,"① 때가 됐다",'01_신호목록'!R3:R78,"&lt;&gt;제외")</f>
        <v/>
      </c>
      <c r="E23" s="17">
        <f>COUNTIFS('01_신호목록'!B3:B78,"중간점검",'01_신호목록'!C3:C78,"조직장(2차)",'01_신호목록'!D3:D78,"② 비어 있다 / 멈췄다",'01_신호목록'!R3:R78,"&lt;&gt;제외")</f>
        <v/>
      </c>
      <c r="F23" s="17">
        <f>COUNTIFS('01_신호목록'!B3:B78,"중간점검",'01_신호목록'!C3:C78,"조직장(2차)",'01_신호목록'!D3:D78,"③ 기준을 벗어났다",'01_신호목록'!R3:R78,"&lt;&gt;제외")</f>
        <v/>
      </c>
      <c r="G23" s="17">
        <f>COUNTIFS('01_신호목록'!B3:B78,"중간점검",'01_신호목록'!C3:C78,"조직장(2차)",'01_신호목록'!D3:D78,"④ 서로 안 맞는다",'01_신호목록'!R3:R78,"&lt;&gt;제외")</f>
        <v/>
      </c>
      <c r="H23" s="17">
        <f>COUNTIFS('01_신호목록'!B3:B78,"중간점검",'01_신호목록'!C3:C78,"조직장(2차)",'01_신호목록'!D3:D78,"⑤ 무슨 일이 생겼다",'01_신호목록'!R3:R78,"&lt;&gt;제외")</f>
        <v/>
      </c>
      <c r="I23" s="21">
        <f>SUM(D23:H23)</f>
        <v/>
      </c>
    </row>
    <row r="24">
      <c r="B24" s="17" t="inlineStr">
        <is>
          <t>중간점검</t>
        </is>
      </c>
      <c r="C24" s="17" t="inlineStr">
        <is>
          <t>HR·경영진</t>
        </is>
      </c>
      <c r="D24" s="17">
        <f>COUNTIFS('01_신호목록'!B3:B78,"중간점검",'01_신호목록'!C3:C78,"HR·경영진",'01_신호목록'!D3:D78,"① 때가 됐다",'01_신호목록'!R3:R78,"&lt;&gt;제외")</f>
        <v/>
      </c>
      <c r="E24" s="17">
        <f>COUNTIFS('01_신호목록'!B3:B78,"중간점검",'01_신호목록'!C3:C78,"HR·경영진",'01_신호목록'!D3:D78,"② 비어 있다 / 멈췄다",'01_신호목록'!R3:R78,"&lt;&gt;제외")</f>
        <v/>
      </c>
      <c r="F24" s="17">
        <f>COUNTIFS('01_신호목록'!B3:B78,"중간점검",'01_신호목록'!C3:C78,"HR·경영진",'01_신호목록'!D3:D78,"③ 기준을 벗어났다",'01_신호목록'!R3:R78,"&lt;&gt;제외")</f>
        <v/>
      </c>
      <c r="G24" s="17">
        <f>COUNTIFS('01_신호목록'!B3:B78,"중간점검",'01_신호목록'!C3:C78,"HR·경영진",'01_신호목록'!D3:D78,"④ 서로 안 맞는다",'01_신호목록'!R3:R78,"&lt;&gt;제외")</f>
        <v/>
      </c>
      <c r="H24" s="17">
        <f>COUNTIFS('01_신호목록'!B3:B78,"중간점검",'01_신호목록'!C3:C78,"HR·경영진",'01_신호목록'!D3:D78,"⑤ 무슨 일이 생겼다",'01_신호목록'!R3:R78,"&lt;&gt;제외")</f>
        <v/>
      </c>
      <c r="I24" s="21">
        <f>SUM(D24:H24)</f>
        <v/>
      </c>
    </row>
    <row r="25">
      <c r="B25" s="17" t="inlineStr">
        <is>
          <t>평가</t>
        </is>
      </c>
      <c r="C25" s="17" t="inlineStr">
        <is>
          <t>조직원</t>
        </is>
      </c>
      <c r="D25" s="17">
        <f>COUNTIFS('01_신호목록'!B3:B78,"평가",'01_신호목록'!C3:C78,"조직원",'01_신호목록'!D3:D78,"① 때가 됐다",'01_신호목록'!R3:R78,"&lt;&gt;제외")</f>
        <v/>
      </c>
      <c r="E25" s="17">
        <f>COUNTIFS('01_신호목록'!B3:B78,"평가",'01_신호목록'!C3:C78,"조직원",'01_신호목록'!D3:D78,"② 비어 있다 / 멈췄다",'01_신호목록'!R3:R78,"&lt;&gt;제외")</f>
        <v/>
      </c>
      <c r="F25" s="17">
        <f>COUNTIFS('01_신호목록'!B3:B78,"평가",'01_신호목록'!C3:C78,"조직원",'01_신호목록'!D3:D78,"③ 기준을 벗어났다",'01_신호목록'!R3:R78,"&lt;&gt;제외")</f>
        <v/>
      </c>
      <c r="G25" s="17">
        <f>COUNTIFS('01_신호목록'!B3:B78,"평가",'01_신호목록'!C3:C78,"조직원",'01_신호목록'!D3:D78,"④ 서로 안 맞는다",'01_신호목록'!R3:R78,"&lt;&gt;제외")</f>
        <v/>
      </c>
      <c r="H25" s="17">
        <f>COUNTIFS('01_신호목록'!B3:B78,"평가",'01_신호목록'!C3:C78,"조직원",'01_신호목록'!D3:D78,"⑤ 무슨 일이 생겼다",'01_신호목록'!R3:R78,"&lt;&gt;제외")</f>
        <v/>
      </c>
      <c r="I25" s="21">
        <f>SUM(D25:H25)</f>
        <v/>
      </c>
    </row>
    <row r="26">
      <c r="B26" s="17" t="inlineStr">
        <is>
          <t>평가</t>
        </is>
      </c>
      <c r="C26" s="17" t="inlineStr">
        <is>
          <t>조직장(1차)</t>
        </is>
      </c>
      <c r="D26" s="17">
        <f>COUNTIFS('01_신호목록'!B3:B78,"평가",'01_신호목록'!C3:C78,"조직장(1차)",'01_신호목록'!D3:D78,"① 때가 됐다",'01_신호목록'!R3:R78,"&lt;&gt;제외")</f>
        <v/>
      </c>
      <c r="E26" s="17">
        <f>COUNTIFS('01_신호목록'!B3:B78,"평가",'01_신호목록'!C3:C78,"조직장(1차)",'01_신호목록'!D3:D78,"② 비어 있다 / 멈췄다",'01_신호목록'!R3:R78,"&lt;&gt;제외")</f>
        <v/>
      </c>
      <c r="F26" s="17">
        <f>COUNTIFS('01_신호목록'!B3:B78,"평가",'01_신호목록'!C3:C78,"조직장(1차)",'01_신호목록'!D3:D78,"③ 기준을 벗어났다",'01_신호목록'!R3:R78,"&lt;&gt;제외")</f>
        <v/>
      </c>
      <c r="G26" s="17">
        <f>COUNTIFS('01_신호목록'!B3:B78,"평가",'01_신호목록'!C3:C78,"조직장(1차)",'01_신호목록'!D3:D78,"④ 서로 안 맞는다",'01_신호목록'!R3:R78,"&lt;&gt;제외")</f>
        <v/>
      </c>
      <c r="H26" s="17">
        <f>COUNTIFS('01_신호목록'!B3:B78,"평가",'01_신호목록'!C3:C78,"조직장(1차)",'01_신호목록'!D3:D78,"⑤ 무슨 일이 생겼다",'01_신호목록'!R3:R78,"&lt;&gt;제외")</f>
        <v/>
      </c>
      <c r="I26" s="21">
        <f>SUM(D26:H26)</f>
        <v/>
      </c>
    </row>
    <row r="27">
      <c r="B27" s="17" t="inlineStr">
        <is>
          <t>평가</t>
        </is>
      </c>
      <c r="C27" s="17" t="inlineStr">
        <is>
          <t>조직장(2차)</t>
        </is>
      </c>
      <c r="D27" s="17">
        <f>COUNTIFS('01_신호목록'!B3:B78,"평가",'01_신호목록'!C3:C78,"조직장(2차)",'01_신호목록'!D3:D78,"① 때가 됐다",'01_신호목록'!R3:R78,"&lt;&gt;제외")</f>
        <v/>
      </c>
      <c r="E27" s="17">
        <f>COUNTIFS('01_신호목록'!B3:B78,"평가",'01_신호목록'!C3:C78,"조직장(2차)",'01_신호목록'!D3:D78,"② 비어 있다 / 멈췄다",'01_신호목록'!R3:R78,"&lt;&gt;제외")</f>
        <v/>
      </c>
      <c r="F27" s="17">
        <f>COUNTIFS('01_신호목록'!B3:B78,"평가",'01_신호목록'!C3:C78,"조직장(2차)",'01_신호목록'!D3:D78,"③ 기준을 벗어났다",'01_신호목록'!R3:R78,"&lt;&gt;제외")</f>
        <v/>
      </c>
      <c r="G27" s="17">
        <f>COUNTIFS('01_신호목록'!B3:B78,"평가",'01_신호목록'!C3:C78,"조직장(2차)",'01_신호목록'!D3:D78,"④ 서로 안 맞는다",'01_신호목록'!R3:R78,"&lt;&gt;제외")</f>
        <v/>
      </c>
      <c r="H27" s="17">
        <f>COUNTIFS('01_신호목록'!B3:B78,"평가",'01_신호목록'!C3:C78,"조직장(2차)",'01_신호목록'!D3:D78,"⑤ 무슨 일이 생겼다",'01_신호목록'!R3:R78,"&lt;&gt;제외")</f>
        <v/>
      </c>
      <c r="I27" s="21">
        <f>SUM(D27:H27)</f>
        <v/>
      </c>
    </row>
    <row r="28">
      <c r="B28" s="17" t="inlineStr">
        <is>
          <t>평가</t>
        </is>
      </c>
      <c r="C28" s="17" t="inlineStr">
        <is>
          <t>HR·경영진</t>
        </is>
      </c>
      <c r="D28" s="17">
        <f>COUNTIFS('01_신호목록'!B3:B78,"평가",'01_신호목록'!C3:C78,"HR·경영진",'01_신호목록'!D3:D78,"① 때가 됐다",'01_신호목록'!R3:R78,"&lt;&gt;제외")</f>
        <v/>
      </c>
      <c r="E28" s="17">
        <f>COUNTIFS('01_신호목록'!B3:B78,"평가",'01_신호목록'!C3:C78,"HR·경영진",'01_신호목록'!D3:D78,"② 비어 있다 / 멈췄다",'01_신호목록'!R3:R78,"&lt;&gt;제외")</f>
        <v/>
      </c>
      <c r="F28" s="17">
        <f>COUNTIFS('01_신호목록'!B3:B78,"평가",'01_신호목록'!C3:C78,"HR·경영진",'01_신호목록'!D3:D78,"③ 기준을 벗어났다",'01_신호목록'!R3:R78,"&lt;&gt;제외")</f>
        <v/>
      </c>
      <c r="G28" s="17">
        <f>COUNTIFS('01_신호목록'!B3:B78,"평가",'01_신호목록'!C3:C78,"HR·경영진",'01_신호목록'!D3:D78,"④ 서로 안 맞는다",'01_신호목록'!R3:R78,"&lt;&gt;제외")</f>
        <v/>
      </c>
      <c r="H28" s="17">
        <f>COUNTIFS('01_신호목록'!B3:B78,"평가",'01_신호목록'!C3:C78,"HR·경영진",'01_신호목록'!D3:D78,"⑤ 무슨 일이 생겼다",'01_신호목록'!R3:R78,"&lt;&gt;제외")</f>
        <v/>
      </c>
      <c r="I28" s="21">
        <f>SUM(D28:H28)</f>
        <v/>
      </c>
    </row>
    <row r="29">
      <c r="B29" s="17" t="inlineStr">
        <is>
          <t>피드백</t>
        </is>
      </c>
      <c r="C29" s="17" t="inlineStr">
        <is>
          <t>조직원</t>
        </is>
      </c>
      <c r="D29" s="17">
        <f>COUNTIFS('01_신호목록'!B3:B78,"피드백",'01_신호목록'!C3:C78,"조직원",'01_신호목록'!D3:D78,"① 때가 됐다",'01_신호목록'!R3:R78,"&lt;&gt;제외")</f>
        <v/>
      </c>
      <c r="E29" s="17">
        <f>COUNTIFS('01_신호목록'!B3:B78,"피드백",'01_신호목록'!C3:C78,"조직원",'01_신호목록'!D3:D78,"② 비어 있다 / 멈췄다",'01_신호목록'!R3:R78,"&lt;&gt;제외")</f>
        <v/>
      </c>
      <c r="F29" s="17">
        <f>COUNTIFS('01_신호목록'!B3:B78,"피드백",'01_신호목록'!C3:C78,"조직원",'01_신호목록'!D3:D78,"③ 기준을 벗어났다",'01_신호목록'!R3:R78,"&lt;&gt;제외")</f>
        <v/>
      </c>
      <c r="G29" s="17">
        <f>COUNTIFS('01_신호목록'!B3:B78,"피드백",'01_신호목록'!C3:C78,"조직원",'01_신호목록'!D3:D78,"④ 서로 안 맞는다",'01_신호목록'!R3:R78,"&lt;&gt;제외")</f>
        <v/>
      </c>
      <c r="H29" s="17">
        <f>COUNTIFS('01_신호목록'!B3:B78,"피드백",'01_신호목록'!C3:C78,"조직원",'01_신호목록'!D3:D78,"⑤ 무슨 일이 생겼다",'01_신호목록'!R3:R78,"&lt;&gt;제외")</f>
        <v/>
      </c>
      <c r="I29" s="21">
        <f>SUM(D29:H29)</f>
        <v/>
      </c>
    </row>
    <row r="30">
      <c r="B30" s="17" t="inlineStr">
        <is>
          <t>피드백</t>
        </is>
      </c>
      <c r="C30" s="17" t="inlineStr">
        <is>
          <t>조직장(1차)</t>
        </is>
      </c>
      <c r="D30" s="17">
        <f>COUNTIFS('01_신호목록'!B3:B78,"피드백",'01_신호목록'!C3:C78,"조직장(1차)",'01_신호목록'!D3:D78,"① 때가 됐다",'01_신호목록'!R3:R78,"&lt;&gt;제외")</f>
        <v/>
      </c>
      <c r="E30" s="17">
        <f>COUNTIFS('01_신호목록'!B3:B78,"피드백",'01_신호목록'!C3:C78,"조직장(1차)",'01_신호목록'!D3:D78,"② 비어 있다 / 멈췄다",'01_신호목록'!R3:R78,"&lt;&gt;제외")</f>
        <v/>
      </c>
      <c r="F30" s="17">
        <f>COUNTIFS('01_신호목록'!B3:B78,"피드백",'01_신호목록'!C3:C78,"조직장(1차)",'01_신호목록'!D3:D78,"③ 기준을 벗어났다",'01_신호목록'!R3:R78,"&lt;&gt;제외")</f>
        <v/>
      </c>
      <c r="G30" s="17">
        <f>COUNTIFS('01_신호목록'!B3:B78,"피드백",'01_신호목록'!C3:C78,"조직장(1차)",'01_신호목록'!D3:D78,"④ 서로 안 맞는다",'01_신호목록'!R3:R78,"&lt;&gt;제외")</f>
        <v/>
      </c>
      <c r="H30" s="17">
        <f>COUNTIFS('01_신호목록'!B3:B78,"피드백",'01_신호목록'!C3:C78,"조직장(1차)",'01_신호목록'!D3:D78,"⑤ 무슨 일이 생겼다",'01_신호목록'!R3:R78,"&lt;&gt;제외")</f>
        <v/>
      </c>
      <c r="I30" s="21">
        <f>SUM(D30:H30)</f>
        <v/>
      </c>
    </row>
    <row r="31">
      <c r="B31" s="17" t="inlineStr">
        <is>
          <t>피드백</t>
        </is>
      </c>
      <c r="C31" s="17" t="inlineStr">
        <is>
          <t>조직장(2차)</t>
        </is>
      </c>
      <c r="D31" s="17">
        <f>COUNTIFS('01_신호목록'!B3:B78,"피드백",'01_신호목록'!C3:C78,"조직장(2차)",'01_신호목록'!D3:D78,"① 때가 됐다",'01_신호목록'!R3:R78,"&lt;&gt;제외")</f>
        <v/>
      </c>
      <c r="E31" s="17">
        <f>COUNTIFS('01_신호목록'!B3:B78,"피드백",'01_신호목록'!C3:C78,"조직장(2차)",'01_신호목록'!D3:D78,"② 비어 있다 / 멈췄다",'01_신호목록'!R3:R78,"&lt;&gt;제외")</f>
        <v/>
      </c>
      <c r="F31" s="17">
        <f>COUNTIFS('01_신호목록'!B3:B78,"피드백",'01_신호목록'!C3:C78,"조직장(2차)",'01_신호목록'!D3:D78,"③ 기준을 벗어났다",'01_신호목록'!R3:R78,"&lt;&gt;제외")</f>
        <v/>
      </c>
      <c r="G31" s="17">
        <f>COUNTIFS('01_신호목록'!B3:B78,"피드백",'01_신호목록'!C3:C78,"조직장(2차)",'01_신호목록'!D3:D78,"④ 서로 안 맞는다",'01_신호목록'!R3:R78,"&lt;&gt;제외")</f>
        <v/>
      </c>
      <c r="H31" s="17">
        <f>COUNTIFS('01_신호목록'!B3:B78,"피드백",'01_신호목록'!C3:C78,"조직장(2차)",'01_신호목록'!D3:D78,"⑤ 무슨 일이 생겼다",'01_신호목록'!R3:R78,"&lt;&gt;제외")</f>
        <v/>
      </c>
      <c r="I31" s="21">
        <f>SUM(D31:H31)</f>
        <v/>
      </c>
    </row>
    <row r="32">
      <c r="B32" s="17" t="inlineStr">
        <is>
          <t>피드백</t>
        </is>
      </c>
      <c r="C32" s="17" t="inlineStr">
        <is>
          <t>HR·경영진</t>
        </is>
      </c>
      <c r="D32" s="17">
        <f>COUNTIFS('01_신호목록'!B3:B78,"피드백",'01_신호목록'!C3:C78,"HR·경영진",'01_신호목록'!D3:D78,"① 때가 됐다",'01_신호목록'!R3:R78,"&lt;&gt;제외")</f>
        <v/>
      </c>
      <c r="E32" s="17">
        <f>COUNTIFS('01_신호목록'!B3:B78,"피드백",'01_신호목록'!C3:C78,"HR·경영진",'01_신호목록'!D3:D78,"② 비어 있다 / 멈췄다",'01_신호목록'!R3:R78,"&lt;&gt;제외")</f>
        <v/>
      </c>
      <c r="F32" s="17">
        <f>COUNTIFS('01_신호목록'!B3:B78,"피드백",'01_신호목록'!C3:C78,"HR·경영진",'01_신호목록'!D3:D78,"③ 기준을 벗어났다",'01_신호목록'!R3:R78,"&lt;&gt;제외")</f>
        <v/>
      </c>
      <c r="G32" s="17">
        <f>COUNTIFS('01_신호목록'!B3:B78,"피드백",'01_신호목록'!C3:C78,"HR·경영진",'01_신호목록'!D3:D78,"④ 서로 안 맞는다",'01_신호목록'!R3:R78,"&lt;&gt;제외")</f>
        <v/>
      </c>
      <c r="H32" s="17">
        <f>COUNTIFS('01_신호목록'!B3:B78,"피드백",'01_신호목록'!C3:C78,"HR·경영진",'01_신호목록'!D3:D78,"⑤ 무슨 일이 생겼다",'01_신호목록'!R3:R78,"&lt;&gt;제외")</f>
        <v/>
      </c>
      <c r="I32" s="21">
        <f>SUM(D32:H32)</f>
        <v/>
      </c>
    </row>
    <row r="35">
      <c r="B35" s="5" t="inlineStr">
        <is>
          <t>빈칸 사유 — 왜 만들지 않았나 (11건)</t>
        </is>
      </c>
    </row>
    <row r="36">
      <c r="B36" s="8" t="inlineStr">
        <is>
          <t>억지로 채우지 않는다. 빈칸이 남는 건 결과이며, 왜 비었는지가 다음 단계의 할 일 목록이 된다.</t>
        </is>
      </c>
    </row>
    <row r="37">
      <c r="B37" s="13" t="inlineStr">
        <is>
          <t>주체</t>
        </is>
      </c>
      <c r="C37" s="13" t="inlineStr">
        <is>
          <t>단계</t>
        </is>
      </c>
      <c r="D37" s="13" t="inlineStr">
        <is>
          <t>변화의 종류</t>
        </is>
      </c>
      <c r="E37" s="13" t="inlineStr">
        <is>
          <t>왜 비었는지</t>
        </is>
      </c>
      <c r="F37" s="9" t="n"/>
      <c r="G37" s="9" t="n"/>
      <c r="H37" s="9" t="n"/>
      <c r="I37" s="9" t="n"/>
      <c r="J37" s="9" t="n"/>
      <c r="K37" s="9" t="n"/>
      <c r="L37" s="9" t="n"/>
      <c r="M37" s="9" t="n"/>
      <c r="N37" s="9" t="n"/>
      <c r="O37" s="10" t="n"/>
    </row>
    <row r="38" ht="30" customHeight="1">
      <c r="B38" s="17" t="inlineStr">
        <is>
          <t>조직원</t>
        </is>
      </c>
      <c r="C38" s="17" t="inlineStr">
        <is>
          <t>중간점검</t>
        </is>
      </c>
      <c r="D38" s="17" t="inlineStr">
        <is>
          <t>① 때가 됐다</t>
        </is>
      </c>
      <c r="E38" s="3" t="inlineStr">
        <is>
          <t>점검 자체의 기한이 제도 일정에 없고, 기한을 만들어도 '며칠째 비어 있다'(②)와 원인이 같아 같은 사람에게 두 번 뜨는 알림이 된다</t>
        </is>
      </c>
      <c r="F38" s="9" t="n"/>
      <c r="G38" s="9" t="n"/>
      <c r="H38" s="9" t="n"/>
      <c r="I38" s="9" t="n"/>
      <c r="J38" s="9" t="n"/>
      <c r="K38" s="9" t="n"/>
      <c r="L38" s="9" t="n"/>
      <c r="M38" s="9" t="n"/>
      <c r="N38" s="9" t="n"/>
      <c r="O38" s="10" t="n"/>
    </row>
    <row r="39" ht="30" customHeight="1">
      <c r="B39" s="22" t="inlineStr">
        <is>
          <t>조직원</t>
        </is>
      </c>
      <c r="C39" s="22" t="inlineStr">
        <is>
          <t>피드백</t>
        </is>
      </c>
      <c r="D39" s="22" t="inlineStr">
        <is>
          <t>② 비어 있다 / 멈췄다</t>
        </is>
      </c>
      <c r="E39" s="4" t="inlineStr">
        <is>
          <t>받은 피드백을 열었는지·답했는지가 어디에도 남지 않아 '며칠째 그대로다'를 규칙으로 판정할 수 없다</t>
        </is>
      </c>
      <c r="F39" s="9" t="n"/>
      <c r="G39" s="9" t="n"/>
      <c r="H39" s="9" t="n"/>
      <c r="I39" s="9" t="n"/>
      <c r="J39" s="9" t="n"/>
      <c r="K39" s="9" t="n"/>
      <c r="L39" s="9" t="n"/>
      <c r="M39" s="9" t="n"/>
      <c r="N39" s="9" t="n"/>
      <c r="O39" s="10" t="n"/>
    </row>
    <row r="40" ht="30" customHeight="1">
      <c r="B40" s="17" t="inlineStr">
        <is>
          <t>조직원</t>
        </is>
      </c>
      <c r="C40" s="17" t="inlineStr">
        <is>
          <t>피드백</t>
        </is>
      </c>
      <c r="D40" s="17" t="inlineStr">
        <is>
          <t>③ 기준을 벗어났다</t>
        </is>
      </c>
      <c r="E40" s="3" t="inlineStr">
        <is>
          <t>개인이 받은 피드백 건수로 기준선을 만들 만한 모수가 없다 (받은 피드백 7건·상향 피드백 2건)</t>
        </is>
      </c>
      <c r="F40" s="9" t="n"/>
      <c r="G40" s="9" t="n"/>
      <c r="H40" s="9" t="n"/>
      <c r="I40" s="9" t="n"/>
      <c r="J40" s="9" t="n"/>
      <c r="K40" s="9" t="n"/>
      <c r="L40" s="9" t="n"/>
      <c r="M40" s="9" t="n"/>
      <c r="N40" s="9" t="n"/>
      <c r="O40" s="10" t="n"/>
    </row>
    <row r="41" ht="30" customHeight="1">
      <c r="B41" s="22" t="inlineStr">
        <is>
          <t>조직장(1차)</t>
        </is>
      </c>
      <c r="C41" s="22" t="inlineStr">
        <is>
          <t>중간점검</t>
        </is>
      </c>
      <c r="D41" s="22" t="inlineStr">
        <is>
          <t>④ 서로 안 맞는다</t>
        </is>
      </c>
      <c r="E41" s="4" t="inlineStr">
        <is>
          <t>팀원 목표가 팀 목표·직무와 어긋나는 건은 목표수립-조직장1차-04와 원인이 같아, 중간점검에서 다시 띄우면 같은 사람에게 같은 카드가 두 번 뜬다</t>
        </is>
      </c>
      <c r="F41" s="9" t="n"/>
      <c r="G41" s="9" t="n"/>
      <c r="H41" s="9" t="n"/>
      <c r="I41" s="9" t="n"/>
      <c r="J41" s="9" t="n"/>
      <c r="K41" s="9" t="n"/>
      <c r="L41" s="9" t="n"/>
      <c r="M41" s="9" t="n"/>
      <c r="N41" s="9" t="n"/>
      <c r="O41" s="10" t="n"/>
    </row>
    <row r="42" ht="30" customHeight="1">
      <c r="B42" s="17" t="inlineStr">
        <is>
          <t>조직장(1차)</t>
        </is>
      </c>
      <c r="C42" s="17" t="inlineStr">
        <is>
          <t>평가</t>
        </is>
      </c>
      <c r="D42" s="17" t="inlineStr">
        <is>
          <t>② 비어 있다 / 멈췄다</t>
        </is>
      </c>
      <c r="E42" s="3" t="inlineStr">
        <is>
          <t>평가 레코드에 최종 수정 일시가 없고 자기평가 제출도 임시 저장뿐이어서, 평가가 '며칠째 그대로'인지를 규칙으로 판정할 수 없다</t>
        </is>
      </c>
      <c r="F42" s="9" t="n"/>
      <c r="G42" s="9" t="n"/>
      <c r="H42" s="9" t="n"/>
      <c r="I42" s="9" t="n"/>
      <c r="J42" s="9" t="n"/>
      <c r="K42" s="9" t="n"/>
      <c r="L42" s="9" t="n"/>
      <c r="M42" s="9" t="n"/>
      <c r="N42" s="9" t="n"/>
      <c r="O42" s="10" t="n"/>
    </row>
    <row r="43" ht="30" customHeight="1">
      <c r="B43" s="22" t="inlineStr">
        <is>
          <t>조직장(1차)</t>
        </is>
      </c>
      <c r="C43" s="22" t="inlineStr">
        <is>
          <t>피드백</t>
        </is>
      </c>
      <c r="D43" s="22" t="inlineStr">
        <is>
          <t>③ 기준을 벗어났다</t>
        </is>
      </c>
      <c r="E43" s="4" t="inlineStr">
        <is>
          <t>팀원별로 받은 피드백이 전사 7건·상향 피드백 2건뿐이어서 많다·적다를 가릴 기준선을 만들 모수가 없다</t>
        </is>
      </c>
      <c r="F43" s="9" t="n"/>
      <c r="G43" s="9" t="n"/>
      <c r="H43" s="9" t="n"/>
      <c r="I43" s="9" t="n"/>
      <c r="J43" s="9" t="n"/>
      <c r="K43" s="9" t="n"/>
      <c r="L43" s="9" t="n"/>
      <c r="M43" s="9" t="n"/>
      <c r="N43" s="9" t="n"/>
      <c r="O43" s="10" t="n"/>
    </row>
    <row r="44" ht="30" customHeight="1">
      <c r="B44" s="17" t="inlineStr">
        <is>
          <t>조직장(1차)</t>
        </is>
      </c>
      <c r="C44" s="17" t="inlineStr">
        <is>
          <t>피드백</t>
        </is>
      </c>
      <c r="D44" s="17" t="inlineStr">
        <is>
          <t>④ 서로 안 맞는다</t>
        </is>
      </c>
      <c r="E44" s="3" t="inlineStr">
        <is>
          <t>확정 등급과 전달할 피드백 문장의 어긋남은 평가-조직장1차-03과 원인이 같고, 피드백 초안이 저장되지 않아 비교할 대상 자체가 없다</t>
        </is>
      </c>
      <c r="F44" s="9" t="n"/>
      <c r="G44" s="9" t="n"/>
      <c r="H44" s="9" t="n"/>
      <c r="I44" s="9" t="n"/>
      <c r="J44" s="9" t="n"/>
      <c r="K44" s="9" t="n"/>
      <c r="L44" s="9" t="n"/>
      <c r="M44" s="9" t="n"/>
      <c r="N44" s="9" t="n"/>
      <c r="O44" s="10" t="n"/>
    </row>
    <row r="45" ht="30" customHeight="1">
      <c r="B45" s="22" t="inlineStr">
        <is>
          <t>조직장(2차)</t>
        </is>
      </c>
      <c r="C45" s="22" t="inlineStr">
        <is>
          <t>피드백</t>
        </is>
      </c>
      <c r="D45" s="22" t="inlineStr">
        <is>
          <t>③ 기준을 벗어났다</t>
        </is>
      </c>
      <c r="E45" s="4" t="inlineStr">
        <is>
          <t>팀별 피드백 지표로 기준선을 만들 모수가 없다 — 받은 피드백 7건·상향 피드백 2건이고 전달·열람 기록이 아예 없어 팀 합계 최소 건수(3건 또는 팀의 30%)를 판정할 수 없다. 피드백 전달·열람 기록이 신설된 뒤 재검토</t>
        </is>
      </c>
      <c r="F45" s="9" t="n"/>
      <c r="G45" s="9" t="n"/>
      <c r="H45" s="9" t="n"/>
      <c r="I45" s="9" t="n"/>
      <c r="J45" s="9" t="n"/>
      <c r="K45" s="9" t="n"/>
      <c r="L45" s="9" t="n"/>
      <c r="M45" s="9" t="n"/>
      <c r="N45" s="9" t="n"/>
      <c r="O45" s="10" t="n"/>
    </row>
    <row r="46" ht="30" customHeight="1">
      <c r="B46" s="17" t="inlineStr">
        <is>
          <t>HR·경영진</t>
        </is>
      </c>
      <c r="C46" s="17" t="inlineStr">
        <is>
          <t>중간점검</t>
        </is>
      </c>
      <c r="D46" s="17" t="inlineStr">
        <is>
          <t>② 비어 있다 / 멈췄다</t>
        </is>
      </c>
      <c r="E46" s="3" t="inlineStr">
        <is>
          <t>점검이 멈춘 개별 건은 조직원과 조직장(1차)이 먼저 처리할 기회를 갖고, HR·경영진에게는 ③ 참여율·진척 미달 카드로 이미 합쳐 뜬다. 같은 원인을 다시 올리면 볼 것만 늘고 할 일은 겹친다</t>
        </is>
      </c>
      <c r="F46" s="9" t="n"/>
      <c r="G46" s="9" t="n"/>
      <c r="H46" s="9" t="n"/>
      <c r="I46" s="9" t="n"/>
      <c r="J46" s="9" t="n"/>
      <c r="K46" s="9" t="n"/>
      <c r="L46" s="9" t="n"/>
      <c r="M46" s="9" t="n"/>
      <c r="N46" s="9" t="n"/>
      <c r="O46" s="10" t="n"/>
    </row>
    <row r="47" ht="30" customHeight="1">
      <c r="B47" s="22" t="inlineStr">
        <is>
          <t>HR·경영진</t>
        </is>
      </c>
      <c r="C47" s="22" t="inlineStr">
        <is>
          <t>중간점검</t>
        </is>
      </c>
      <c r="D47" s="22" t="inlineStr">
        <is>
          <t>⑤ 무슨 일이 생겼다</t>
        </is>
      </c>
      <c r="E47" s="4" t="inlineStr">
        <is>
          <t>발령·조직개편으로 생긴 목표 공백은 목표수립 단계의 같은 원인 카드(목표수립-HR경영진-04)가 담당한다. 같은 원인으로 두 단계에 뜨면 중복이므로 상위 카드로 흡수한다</t>
        </is>
      </c>
      <c r="F47" s="9" t="n"/>
      <c r="G47" s="9" t="n"/>
      <c r="H47" s="9" t="n"/>
      <c r="I47" s="9" t="n"/>
      <c r="J47" s="9" t="n"/>
      <c r="K47" s="9" t="n"/>
      <c r="L47" s="9" t="n"/>
      <c r="M47" s="9" t="n"/>
      <c r="N47" s="9" t="n"/>
      <c r="O47" s="10" t="n"/>
    </row>
    <row r="48" ht="30" customHeight="1">
      <c r="B48" s="17" t="inlineStr">
        <is>
          <t>HR·경영진</t>
        </is>
      </c>
      <c r="C48" s="17" t="inlineStr">
        <is>
          <t>피드백</t>
        </is>
      </c>
      <c r="D48" s="17" t="inlineStr">
        <is>
          <t>⑤ 무슨 일이 생겼다</t>
        </is>
      </c>
      <c r="E48" s="3" t="inlineStr">
        <is>
          <t>조직개편으로 평가자가 바뀔 때 이전 평가 피드백이 인수됐는지 보려면 발령 이력과 피드백 전달 기록이 둘 다 필요한데, 발령 채움률 0.5%·피드백 보냄·받음 기록 없음으로 두 전제가 모두 비어 규칙 판정이 불가하다. 원천이 갖춰지면 재검토</t>
        </is>
      </c>
      <c r="F48" s="9" t="n"/>
      <c r="G48" s="9" t="n"/>
      <c r="H48" s="9" t="n"/>
      <c r="I48" s="9" t="n"/>
      <c r="J48" s="9" t="n"/>
      <c r="K48" s="9" t="n"/>
      <c r="L48" s="9" t="n"/>
      <c r="M48" s="9" t="n"/>
      <c r="N48" s="9" t="n"/>
      <c r="O48" s="10" t="n"/>
    </row>
  </sheetData>
  <mergeCells count="16">
    <mergeCell ref="E39:O39"/>
    <mergeCell ref="E47:O47"/>
    <mergeCell ref="E43:O43"/>
    <mergeCell ref="F5:H5"/>
    <mergeCell ref="C5:E5"/>
    <mergeCell ref="E38:O38"/>
    <mergeCell ref="E44:O44"/>
    <mergeCell ref="I5:K5"/>
    <mergeCell ref="L5:N5"/>
    <mergeCell ref="E41:O41"/>
    <mergeCell ref="E46:O46"/>
    <mergeCell ref="E42:O42"/>
    <mergeCell ref="E37:O37"/>
    <mergeCell ref="E48:O48"/>
    <mergeCell ref="E45:O45"/>
    <mergeCell ref="E40:O40"/>
  </mergeCells>
  <conditionalFormatting sqref="D17:H32">
    <cfRule type="expression" priority="1" dxfId="3">
      <formula>D17=0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59"/>
  <sheetViews>
    <sheetView showGridLines="0" workbookViewId="0">
      <selection activeCell="A1" sqref="A1"/>
    </sheetView>
  </sheetViews>
  <sheetFormatPr baseColWidth="8" defaultRowHeight="15"/>
  <cols>
    <col width="3" customWidth="1" min="1" max="1"/>
    <col width="22" customWidth="1" min="2" max="2"/>
    <col width="32" customWidth="1" min="3" max="3"/>
    <col width="44" customWidth="1" min="4" max="4"/>
    <col width="40" customWidth="1" min="5" max="5"/>
    <col width="18" customWidth="1" min="6" max="6"/>
  </cols>
  <sheetData>
    <row r="2">
      <c r="B2" s="1" t="inlineStr">
        <is>
          <t>03 문장 쓰는 규칙 · 알림 기록으로 남길 항목</t>
        </is>
      </c>
    </row>
    <row r="3">
      <c r="B3" s="8" t="inlineStr">
        <is>
          <t>규칙 버전 v0.1 (2026-07-28) — 규칙을 고치면 이 버전을 올린다. 그래야 알림 기록에서 고친 전후를 비교할 수 있다.</t>
        </is>
      </c>
    </row>
    <row r="6">
      <c r="B6" s="5" t="inlineStr">
        <is>
          <t>(1) 문장 쓰는 규칙</t>
        </is>
      </c>
      <c r="C6" s="8" t="inlineStr">
        <is>
          <t>— 여러 사람이 나눠 써도 알림 말투가 하나로 유지되게 하는 기준</t>
        </is>
      </c>
    </row>
    <row r="7">
      <c r="B7" s="2" t="inlineStr">
        <is>
          <t>항목</t>
        </is>
      </c>
      <c r="C7" s="2" t="inlineStr">
        <is>
          <t>규칙</t>
        </is>
      </c>
      <c r="D7" s="2" t="inlineStr">
        <is>
          <t>이렇게 쓰지 말고</t>
        </is>
      </c>
      <c r="E7" s="2" t="inlineStr">
        <is>
          <t>이렇게</t>
        </is>
      </c>
    </row>
    <row r="8">
      <c r="B8" s="3" t="inlineStr">
        <is>
          <t>신호 문장 (E열)</t>
        </is>
      </c>
      <c r="C8" s="3" t="inlineStr">
        <is>
          <t>본 것을 그대로 말하는 구어체. 12~24자</t>
        </is>
      </c>
      <c r="D8" s="3" t="inlineStr">
        <is>
          <t>미제출 2건 발생</t>
        </is>
      </c>
      <c r="E8" s="3" t="inlineStr">
        <is>
          <t>팀원 2명이 목표를 아직 안 세웠어요</t>
        </is>
      </c>
    </row>
    <row r="9">
      <c r="B9" s="4" t="inlineStr">
        <is>
          <t>주체 표시</t>
        </is>
      </c>
      <c r="C9" s="4" t="inlineStr">
        <is>
          <t>누가·무엇이 달라졌는지 문장에 넣는다</t>
        </is>
      </c>
      <c r="D9" s="4" t="inlineStr">
        <is>
          <t>진척 정체 감지</t>
        </is>
      </c>
      <c r="E9" s="4" t="inlineStr">
        <is>
          <t>팀원 B님 진척이 2주째 멈췄어요</t>
        </is>
      </c>
    </row>
    <row r="10">
      <c r="B10" s="3" t="inlineStr">
        <is>
          <t>단정적 평가 금지</t>
        </is>
      </c>
      <c r="C10" s="3" t="inlineStr">
        <is>
          <t>"문제·위험·이상" 같은 판정어를 쓰지 않는다</t>
        </is>
      </c>
      <c r="D10" s="3" t="inlineStr">
        <is>
          <t>목표 정렬에 위험이 있습니다</t>
        </is>
      </c>
      <c r="E10" s="3" t="inlineStr">
        <is>
          <t>목표가 팀 방향과 조금 어긋나 있어요</t>
        </is>
      </c>
    </row>
    <row r="11">
      <c r="B11" s="4" t="inlineStr">
        <is>
          <t>AI 자기소개 금지</t>
        </is>
      </c>
      <c r="C11" s="4" t="inlineStr">
        <is>
          <t>AI가 분석했다는 말을 넣지 않는다</t>
        </is>
      </c>
      <c r="D11" s="4" t="inlineStr">
        <is>
          <t>AI가 분석한 결과입니다</t>
        </is>
      </c>
      <c r="E11" s="4" t="inlineStr">
        <is>
          <t>(문장에서 뺀다)</t>
        </is>
      </c>
    </row>
    <row r="12">
      <c r="B12" s="3" t="inlineStr">
        <is>
          <t>확률·정확도 금지</t>
        </is>
      </c>
      <c r="C12" s="3" t="inlineStr">
        <is>
          <t>숫자로 된 신뢰도를 노출하지 않는다</t>
        </is>
      </c>
      <c r="D12" s="3" t="inlineStr">
        <is>
          <t>이탈 확률 78%</t>
        </is>
      </c>
      <c r="E12" s="3" t="inlineStr">
        <is>
          <t>체크인율이 크게 낮아진 팀이 있어요</t>
        </is>
      </c>
    </row>
    <row r="13">
      <c r="B13" s="4" t="inlineStr">
        <is>
          <t>사과 문구 금지</t>
        </is>
      </c>
      <c r="C13" s="4" t="inlineStr">
        <is>
          <t>알림이 사과하지 않는다</t>
        </is>
      </c>
      <c r="D13" s="4" t="inlineStr">
        <is>
          <t>번거롭게 해드려 죄송하지만</t>
        </is>
      </c>
      <c r="E13" s="4" t="inlineStr">
        <is>
          <t>(문장에서 뺀다)</t>
        </is>
      </c>
    </row>
    <row r="14">
      <c r="B14" s="3" t="inlineStr">
        <is>
          <t>애매하면 안 띄운다</t>
        </is>
      </c>
      <c r="C14" s="3" t="inlineStr">
        <is>
          <t>근거가 부족하면 알림을 만들지 않는다</t>
        </is>
      </c>
      <c r="D14" s="3" t="inlineStr">
        <is>
          <t>잘 모르겠지만 확인이 필요해요</t>
        </is>
      </c>
      <c r="E14" s="3" t="inlineStr">
        <is>
          <t>(알림을 만들지 않는다)</t>
        </is>
      </c>
    </row>
    <row r="15">
      <c r="B15" s="4" t="inlineStr">
        <is>
          <t>물어보는 문장 (L열)</t>
        </is>
      </c>
      <c r="C15" s="4" t="inlineStr">
        <is>
          <t>한 번에 하나만 묻는다. 확정 버튼은 사람이 누른다</t>
        </is>
      </c>
      <c r="D15" s="4" t="inlineStr">
        <is>
          <t>전부 처리해 드릴까요?</t>
        </is>
      </c>
      <c r="E15" s="4" t="inlineStr">
        <is>
          <t>이대로 진행 점검할까요?</t>
        </is>
      </c>
    </row>
    <row r="18">
      <c r="B18" s="5" t="inlineStr">
        <is>
          <t>근거 쓰는 규칙 4가지</t>
        </is>
      </c>
    </row>
    <row r="19">
      <c r="B19" s="11" t="inlineStr">
        <is>
          <t>항목</t>
        </is>
      </c>
      <c r="C19" s="11" t="inlineStr">
        <is>
          <t>내용</t>
        </is>
      </c>
      <c r="D19" s="11" t="inlineStr">
        <is>
          <t>이렇게 쓰지 말고</t>
        </is>
      </c>
      <c r="E19" s="11" t="inlineStr">
        <is>
          <t>이렇게</t>
        </is>
      </c>
    </row>
    <row r="20">
      <c r="B20" s="3" t="inlineStr">
        <is>
          <t>한 줄에 한 사실</t>
        </is>
      </c>
      <c r="C20" s="3" t="inlineStr">
        <is>
          <t>근거 한 줄 = 사실 하나 + 출처 하나</t>
        </is>
      </c>
      <c r="D20" s="3" t="inlineStr">
        <is>
          <t>진척이 낮다</t>
        </is>
      </c>
      <c r="E20" s="3" t="inlineStr">
        <is>
          <t>핵심결과 "전환율 개선" 진척 42%</t>
        </is>
      </c>
    </row>
    <row r="21">
      <c r="B21" s="4" t="inlineStr">
        <is>
          <t>비교 기준 붙이기</t>
        </is>
      </c>
      <c r="C21" s="4" t="inlineStr">
        <is>
          <t>숫자만 있으면 이상한지 알 수 없다</t>
        </is>
      </c>
      <c r="D21" s="4" t="inlineStr">
        <is>
          <t>42%</t>
        </is>
      </c>
      <c r="E21" s="4" t="inlineStr">
        <is>
          <t>42% (팀 평균 71%)</t>
        </is>
      </c>
    </row>
    <row r="22">
      <c r="B22" s="3" t="inlineStr">
        <is>
          <t>언제 기준인지 쓰기</t>
        </is>
      </c>
      <c r="C22" s="3" t="inlineStr">
        <is>
          <t>모든 근거에 기준 시점을 붙인다</t>
        </is>
      </c>
      <c r="D22" s="3" t="inlineStr">
        <is>
          <t>현재 진척 42%</t>
        </is>
      </c>
      <c r="E22" s="3" t="inlineStr">
        <is>
          <t>7월 16일 기준 진척 42%</t>
        </is>
      </c>
    </row>
    <row r="23">
      <c r="B23" s="4" t="inlineStr">
        <is>
          <t>3~5줄</t>
        </is>
      </c>
      <c r="C23" s="4" t="inlineStr">
        <is>
          <t>그보다 길면 접어 둔다</t>
        </is>
      </c>
      <c r="D23" s="4" t="inlineStr">
        <is>
          <t>근거 10줄 나열</t>
        </is>
      </c>
      <c r="E23" s="4" t="inlineStr">
        <is>
          <t>핵심 3줄 + 나머지는 접기</t>
        </is>
      </c>
    </row>
    <row r="25" ht="32" customHeight="1">
      <c r="B25" s="7" t="inlineStr">
        <is>
          <t>비교 기준은 4가지 중 하나를 골라 적는다 — ① 본인의 예전 기록 ② 같은 팀·같은 직무 평균 ③ 계획 대비 ④ 제도 기준값. 근거 한 줄마다 어느 기록에서 나온 것인지(목표 번호·핵심결과 번호·점검 번호)를 함께 적는다. 나중에 확인하는 일, 알림 기록과 맞춰 보는 일, 알림에서 해당 화면으로 바로 넘어가는 기능이 전부 이 표시에서 나온다.</t>
        </is>
      </c>
    </row>
    <row r="28">
      <c r="B28" s="5" t="inlineStr">
        <is>
          <t>(2) 알림 기록으로 남길 항목</t>
        </is>
      </c>
      <c r="C28" s="8" t="inlineStr">
        <is>
          <t>— 규칙으로 만든 알림은 나중에 성적을 봐야 고칠 수 있다</t>
        </is>
      </c>
    </row>
    <row r="29">
      <c r="B29" s="12" t="inlineStr">
        <is>
          <t>묶음</t>
        </is>
      </c>
      <c r="C29" s="12" t="inlineStr">
        <is>
          <t>남길 것</t>
        </is>
      </c>
      <c r="D29" s="12" t="inlineStr">
        <is>
          <t>여기서 알 수 있는 것</t>
        </is>
      </c>
      <c r="E29" s="12" t="inlineStr"/>
    </row>
    <row r="30">
      <c r="B30" s="3" t="inlineStr">
        <is>
          <t>① 떴을 때</t>
        </is>
      </c>
      <c r="C30" s="3" t="inlineStr">
        <is>
          <t>알림 번호, 규칙 버전, 뜬 시각, 어느 시점 기준인지(as-of)</t>
        </is>
      </c>
      <c r="D30" s="3" t="inlineStr">
        <is>
          <t>규칙을 고쳤을 때 전보다 나아졌는지</t>
        </is>
      </c>
      <c r="E30" s="3" t="inlineStr"/>
    </row>
    <row r="31">
      <c r="B31" s="4" t="inlineStr">
        <is>
          <t>② 누구에게</t>
        </is>
      </c>
      <c r="C31" s="4" t="inlineStr">
        <is>
          <t>대상자, 주체 구분, 범위(본인/팀원/팀/조직)</t>
        </is>
      </c>
      <c r="D31" s="4" t="inlineStr">
        <is>
          <t>주체별로 알림이 몇 개씩 가는지</t>
        </is>
      </c>
      <c r="E31" s="4" t="inlineStr"/>
    </row>
    <row r="32">
      <c r="B32" s="3" t="inlineStr">
        <is>
          <t>③ 무엇을 보고</t>
        </is>
      </c>
      <c r="C32" s="3" t="inlineStr">
        <is>
          <t>변화의 종류, 본 기록(목표·핵심결과·점검·평가 번호), 판단 결과값</t>
        </is>
      </c>
      <c r="D32" s="3" t="inlineStr">
        <is>
          <t>어떤 종류가 헛알림이 많은지</t>
        </is>
      </c>
      <c r="E32" s="3" t="inlineStr"/>
    </row>
    <row r="33">
      <c r="B33" s="4" t="inlineStr">
        <is>
          <t>④ 근거</t>
        </is>
      </c>
      <c r="C33" s="4" t="inlineStr">
        <is>
          <t>사실·숫자·비교 기준·출처·기준 시점</t>
        </is>
      </c>
      <c r="D33" s="4" t="inlineStr">
        <is>
          <t>근거를 펼쳐 보는 비율</t>
        </is>
      </c>
      <c r="E33" s="4" t="inlineStr"/>
    </row>
    <row r="34">
      <c r="B34" s="3" t="inlineStr">
        <is>
          <t>⑤ 행동과 결과</t>
        </is>
      </c>
      <c r="C34" s="3" t="inlineStr">
        <is>
          <t>행동 종류, 초안 생성 여부, 보낸 시각, 열어본 시각, 결과(확정/고쳐서 확정/무시/기한 지남), 저장된 기록 번호</t>
        </is>
      </c>
      <c r="D34" s="3" t="inlineStr">
        <is>
          <t>확정 비율, 고쳐서 확정한 비율, 무시 비율, 열고도 아무것도 안 한 비율</t>
        </is>
      </c>
      <c r="E34" s="3" t="inlineStr"/>
    </row>
    <row r="35">
      <c r="B35" s="4" t="inlineStr">
        <is>
          <t>⑥ 안 띄운 경우</t>
        </is>
      </c>
      <c r="C35" s="4" t="inlineStr">
        <is>
          <t>안 띄운 이유(재알림 간격·상위 흡수·최소 건수 미달), 다시 띄울 수 있는 시각, 대신 뜬 상위 알림 번호</t>
        </is>
      </c>
      <c r="D35" s="4" t="inlineStr">
        <is>
          <t>알림을 잘 줄이고 있는지</t>
        </is>
      </c>
      <c r="E35" s="4" t="inlineStr"/>
    </row>
    <row r="37" ht="32" customHeight="1">
      <c r="B37" s="7" t="inlineStr">
        <is>
          <t>생성형 AI는 문장을 고쳐서 성능을 올릴 수 있지만 규칙은 그렇게 못 한다. 어떤 알림이 열리고, 실제로 처리되고, 무시되는지를 남기지 않으면 규칙은 첫 버전에 그대로 머문다. 현재 데모에서는 알림 기록이 브라우저에 50건만 남고 원천이 두 계통으로 갈라져 있어, 이 표대로 남기려면 서버 보존 원장을 새로 만들어야 한다.</t>
        </is>
      </c>
    </row>
    <row r="40">
      <c r="B40" s="5" t="inlineStr">
        <is>
          <t>⑤에서 읽는 신호</t>
        </is>
      </c>
    </row>
    <row r="41">
      <c r="B41" s="13" t="inlineStr">
        <is>
          <t>수치</t>
        </is>
      </c>
      <c r="C41" s="13" t="inlineStr">
        <is>
          <t>낮거나 높으면</t>
        </is>
      </c>
      <c r="D41" s="13" t="inlineStr"/>
      <c r="E41" s="13" t="inlineStr"/>
    </row>
    <row r="42">
      <c r="B42" s="3" t="inlineStr">
        <is>
          <t>열어본 비율이 낮음</t>
        </is>
      </c>
      <c r="C42" s="3" t="inlineStr">
        <is>
          <t>문장이 안 끌리거나 알림 채널이 안 맞음</t>
        </is>
      </c>
      <c r="D42" s="3" t="inlineStr"/>
      <c r="E42" s="3" t="inlineStr"/>
    </row>
    <row r="43">
      <c r="B43" s="4" t="inlineStr">
        <is>
          <t>근거를 펼쳐 본 비율이 낮음</t>
        </is>
      </c>
      <c r="C43" s="4" t="inlineStr">
        <is>
          <t>근거를 볼 필요 없는 알림 = 굳이 없어도 되는 알림</t>
        </is>
      </c>
      <c r="D43" s="4" t="inlineStr"/>
      <c r="E43" s="4" t="inlineStr"/>
    </row>
    <row r="44">
      <c r="B44" s="3" t="inlineStr">
        <is>
          <t>고쳐서 확정한 비율이 높음</t>
        </is>
      </c>
      <c r="C44" s="3" t="inlineStr">
        <is>
          <t>초안 재료(J열)가 부족함</t>
        </is>
      </c>
      <c r="D44" s="3" t="inlineStr"/>
      <c r="E44" s="3" t="inlineStr"/>
    </row>
    <row r="45">
      <c r="B45" s="4" t="inlineStr">
        <is>
          <t>무시 비율이 높음</t>
        </is>
      </c>
      <c r="C45" s="4" t="inlineStr">
        <is>
          <t>띄우는 조건이 너무 예민함</t>
        </is>
      </c>
      <c r="D45" s="4" t="inlineStr"/>
      <c r="E45" s="4" t="inlineStr"/>
    </row>
    <row r="46">
      <c r="B46" s="3" t="inlineStr">
        <is>
          <t>열고도 아무것도 안 한 비율이 높음</t>
        </is>
      </c>
      <c r="C46" s="3" t="inlineStr">
        <is>
          <t>무엇을 해야 하는지가 불분명함</t>
        </is>
      </c>
      <c r="D46" s="3" t="inlineStr"/>
      <c r="E46" s="3" t="inlineStr"/>
    </row>
    <row r="49">
      <c r="B49" s="5" t="inlineStr">
        <is>
          <t>개발자에게 넘길 때 보는 곳</t>
        </is>
      </c>
    </row>
    <row r="50">
      <c r="B50" s="2" t="inlineStr">
        <is>
          <t>무엇을 만들 때</t>
        </is>
      </c>
      <c r="C50" s="2" t="inlineStr">
        <is>
          <t>어느 열을 보나</t>
        </is>
      </c>
      <c r="D50" s="2" t="inlineStr"/>
      <c r="E50" s="2" t="inlineStr"/>
    </row>
    <row r="51">
      <c r="B51" s="3" t="inlineStr">
        <is>
          <t>알림을 띄울지 판단하는 규칙</t>
        </is>
      </c>
      <c r="C51" s="3" t="inlineStr">
        <is>
          <t>G(판단 조건) · H(비교 기준) · D(변화의 종류)</t>
        </is>
      </c>
      <c r="D51" s="3" t="inlineStr"/>
      <c r="E51" s="3" t="inlineStr"/>
    </row>
    <row r="52">
      <c r="B52" s="4" t="inlineStr">
        <is>
          <t>어떤 정보를 읽어야 하는지</t>
        </is>
      </c>
      <c r="C52" s="4" t="inlineStr">
        <is>
          <t>I(필요한 정보) · J(초안 재료)</t>
        </is>
      </c>
      <c r="D52" s="4" t="inlineStr"/>
      <c r="E52" s="4" t="inlineStr"/>
    </row>
    <row r="53">
      <c r="B53" s="3" t="inlineStr">
        <is>
          <t>누구에게 띄우는지</t>
        </is>
      </c>
      <c r="C53" s="3" t="inlineStr">
        <is>
          <t>C(주체)</t>
        </is>
      </c>
      <c r="D53" s="3" t="inlineStr"/>
      <c r="E53" s="3" t="inlineStr"/>
    </row>
    <row r="54">
      <c r="B54" s="4" t="inlineStr">
        <is>
          <t>몇 번 띄우고 언제 없앨지</t>
        </is>
      </c>
      <c r="C54" s="4" t="inlineStr">
        <is>
          <t>S(재알림 간격) · T(최소 건수) · U(언제 사라지나)</t>
        </is>
      </c>
      <c r="D54" s="4" t="inlineStr"/>
      <c r="E54" s="4" t="inlineStr"/>
    </row>
    <row r="55">
      <c r="B55" s="3" t="inlineStr">
        <is>
          <t>화면에 뜨는 문장</t>
        </is>
      </c>
      <c r="C55" s="3" t="inlineStr">
        <is>
          <t>E(신호) · F(왜 지금) · L(물어보는 문장)</t>
        </is>
      </c>
      <c r="D55" s="3" t="inlineStr"/>
      <c r="E55" s="3" t="inlineStr"/>
    </row>
    <row r="56">
      <c r="B56" s="4" t="inlineStr">
        <is>
          <t>처리 결과를 어디에 저장할지</t>
        </is>
      </c>
      <c r="C56" s="4" t="inlineStr">
        <is>
          <t>M(결과가 저장되는 곳)</t>
        </is>
      </c>
      <c r="D56" s="4" t="inlineStr"/>
      <c r="E56" s="4" t="inlineStr"/>
    </row>
    <row r="57">
      <c r="B57" s="3" t="inlineStr">
        <is>
          <t>무엇을 기록으로 남길지</t>
        </is>
      </c>
      <c r="C57" s="3" t="inlineStr">
        <is>
          <t>이 시트 (2)번 표</t>
        </is>
      </c>
      <c r="D57" s="3" t="inlineStr"/>
      <c r="E57" s="3" t="inlineStr"/>
    </row>
    <row r="59" ht="32" customHeight="1">
      <c r="B59" s="7" t="inlineStr">
        <is>
          <t>넘기기 전 확인 3가지 — ① M열에 빈칸이 없다(빈칸이면 만들 곳이 없다는 뜻) ② V열(확인 필요)이 00_읽는법 아래에 모여 있다 ③ G열의 판단 조건이 전문용어 없이 한 문장으로 읽힌다.</t>
        </is>
      </c>
    </row>
  </sheetData>
  <mergeCells count="3">
    <mergeCell ref="B37:F37"/>
    <mergeCell ref="B25:F25"/>
    <mergeCell ref="B59:F5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2026-07-28T07:57:45Z</dcterms:created>
  <dcterms:modified xmlns:dcterms="http://purl.org/dc/terms/" xmlns:xsi="http://www.w3.org/2001/XMLSchema-instance" xsi:type="dcterms:W3CDTF">2026-07-28T07:57:45Z</dcterms:modified>
</cp:coreProperties>
</file>