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00_읽는법" sheetId="1" state="visible" r:id="rId1"/>
    <sheet xmlns:r="http://schemas.openxmlformats.org/officeDocument/2006/relationships" name="01_한눈에보기" sheetId="2" state="visible" r:id="rId2"/>
    <sheet xmlns:r="http://schemas.openxmlformats.org/officeDocument/2006/relationships" name="02_카드문구" sheetId="3" state="visible" r:id="rId3"/>
    <sheet xmlns:r="http://schemas.openxmlformats.org/officeDocument/2006/relationships" name="03_발생조건" sheetId="4" state="visible" r:id="rId4"/>
    <sheet xmlns:r="http://schemas.openxmlformats.org/officeDocument/2006/relationships" name="04_영역점검" sheetId="5" state="visible" r:id="rId5"/>
    <sheet xmlns:r="http://schemas.openxmlformats.org/officeDocument/2006/relationships" name="05_어휘·문구규칙" sheetId="6" state="visible" r:id="rId6"/>
  </sheets>
  <definedNames>
    <definedName name="_xlnm._FilterDatabase" localSheetId="2" hidden="1">'02_카드문구'!$A$2:$R$78</definedName>
    <definedName name="_xlnm._FilterDatabase" localSheetId="3" hidden="1">'03_발생조건'!$A$2:$T$78</definedName>
  </definedNames>
  <calcPr calcId="124519" fullCalcOnLoad="1"/>
</workbook>
</file>

<file path=xl/styles.xml><?xml version="1.0" encoding="utf-8"?>
<styleSheet xmlns="http://schemas.openxmlformats.org/spreadsheetml/2006/main">
  <numFmts count="0"/>
  <fonts count="13">
    <font>
      <name val="Calibri"/>
      <family val="2"/>
      <color theme="1"/>
      <sz val="11"/>
      <scheme val="minor"/>
    </font>
    <font>
      <name val="맑은 고딕"/>
      <b val="1"/>
      <color rgb="001F3864"/>
      <sz val="16"/>
    </font>
    <font>
      <name val="맑은 고딕"/>
      <b val="1"/>
      <color rgb="00FFFFFF"/>
      <sz val="9"/>
    </font>
    <font>
      <name val="맑은 고딕"/>
      <sz val="9"/>
    </font>
    <font>
      <name val="맑은 고딕"/>
      <b val="1"/>
      <color rgb="001F3864"/>
      <sz val="11"/>
    </font>
    <font>
      <name val="맑은 고딕"/>
      <color rgb="006B7280"/>
      <sz val="8"/>
    </font>
    <font>
      <name val="맑은 고딕"/>
      <b val="1"/>
      <color rgb="00B45309"/>
      <sz val="9"/>
    </font>
    <font>
      <name val="맑은 고딕"/>
      <b val="1"/>
      <color rgb="001F3864"/>
      <sz val="10"/>
    </font>
    <font>
      <name val="맑은 고딕"/>
      <b val="1"/>
      <color rgb="00111827"/>
      <sz val="9"/>
    </font>
    <font>
      <name val="맑은 고딕"/>
      <color rgb="009CA3AF"/>
      <sz val="9"/>
    </font>
    <font>
      <name val="맑은 고딕"/>
      <b val="1"/>
      <color rgb="00FFFFFF"/>
      <sz val="10"/>
    </font>
    <font>
      <name val="맑은 고딕"/>
      <b val="1"/>
      <sz val="9"/>
    </font>
    <font>
      <name val="맑은 고딕"/>
      <color rgb="00B91C1C"/>
      <sz val="9"/>
    </font>
  </fonts>
  <fills count="8">
    <fill>
      <patternFill/>
    </fill>
    <fill>
      <patternFill patternType="gray125"/>
    </fill>
    <fill>
      <patternFill patternType="solid">
        <fgColor rgb="004B5563"/>
      </patternFill>
    </fill>
    <fill>
      <patternFill patternType="solid">
        <fgColor rgb="00B45309"/>
      </patternFill>
    </fill>
    <fill>
      <patternFill patternType="solid">
        <fgColor rgb="001F3864"/>
      </patternFill>
    </fill>
    <fill>
      <patternFill patternType="solid">
        <fgColor rgb="000F6B6B"/>
      </patternFill>
    </fill>
    <fill>
      <patternFill patternType="solid">
        <fgColor rgb="00E8EDF7"/>
      </patternFill>
    </fill>
    <fill>
      <patternFill patternType="solid">
        <fgColor rgb="00B91C1C"/>
      </patternFill>
    </fill>
  </fills>
  <borders count="9">
    <border>
      <left/>
      <right/>
      <top/>
      <bottom/>
      <diagonal/>
    </border>
    <border>
      <left style="thin">
        <color rgb="00D1D5DB"/>
      </left>
      <right style="thin">
        <color rgb="00D1D5DB"/>
      </right>
      <top style="thin">
        <color rgb="00D1D5DB"/>
      </top>
      <bottom style="thin">
        <color rgb="00D1D5DB"/>
      </bottom>
    </border>
    <border>
      <left/>
      <right/>
      <top style="thin">
        <color rgb="00D1D5DB"/>
      </top>
      <bottom/>
      <diagonal/>
    </border>
    <border>
      <left/>
      <right style="thin">
        <color rgb="00D1D5DB"/>
      </right>
      <top style="thin">
        <color rgb="00D1D5DB"/>
      </top>
      <bottom/>
      <diagonal/>
    </border>
    <border>
      <left/>
      <right/>
      <top style="thin">
        <color rgb="00D1D5DB"/>
      </top>
      <bottom style="thin">
        <color rgb="00D1D5DB"/>
      </bottom>
      <diagonal/>
    </border>
    <border>
      <left/>
      <right style="thin">
        <color rgb="00D1D5DB"/>
      </right>
      <top style="thin">
        <color rgb="00D1D5DB"/>
      </top>
      <bottom style="thin">
        <color rgb="00D1D5DB"/>
      </bottom>
      <diagonal/>
    </border>
    <border>
      <left style="thin">
        <color rgb="00D1D5DB"/>
      </left>
      <right/>
      <top/>
      <bottom/>
      <diagonal/>
    </border>
    <border>
      <left style="thin">
        <color rgb="00D1D5DB"/>
      </left>
      <right style="thin">
        <color rgb="00D1D5DB"/>
      </right>
      <top/>
      <bottom/>
      <diagonal/>
    </border>
    <border>
      <left style="thin">
        <color rgb="00D1D5DB"/>
      </left>
      <right style="thin">
        <color rgb="00D1D5DB"/>
      </right>
      <top/>
      <bottom style="thin">
        <color rgb="00D1D5DB"/>
      </bottom>
      <diagonal/>
    </border>
  </borders>
  <cellStyleXfs count="1">
    <xf numFmtId="0" fontId="0" fillId="0" borderId="0"/>
  </cellStyleXfs>
  <cellXfs count="28">
    <xf numFmtId="0" fontId="0" fillId="0" borderId="0" pivotButton="0" quotePrefix="0" xfId="0"/>
    <xf numFmtId="0" fontId="1" fillId="0" borderId="0" pivotButton="0" quotePrefix="0" xfId="0"/>
    <xf numFmtId="0" fontId="2" fillId="2" borderId="1" applyAlignment="1" pivotButton="0" quotePrefix="0" xfId="0">
      <alignment horizontal="center" vertical="center" wrapText="1"/>
    </xf>
    <xf numFmtId="0" fontId="3" fillId="0" borderId="1" applyAlignment="1" pivotButton="0" quotePrefix="0" xfId="0">
      <alignment vertical="top" wrapText="1"/>
    </xf>
    <xf numFmtId="0" fontId="4" fillId="0" borderId="0" pivotButton="0" quotePrefix="0" xfId="0"/>
    <xf numFmtId="0" fontId="2" fillId="3" borderId="1" applyAlignment="1" pivotButton="0" quotePrefix="0" xfId="0">
      <alignment horizontal="center" vertical="center" wrapText="1"/>
    </xf>
    <xf numFmtId="0" fontId="5" fillId="0" borderId="0" applyAlignment="1" pivotButton="0" quotePrefix="0" xfId="0">
      <alignment vertical="top" wrapText="1"/>
    </xf>
    <xf numFmtId="0" fontId="2" fillId="4" borderId="1" applyAlignment="1" pivotButton="0" quotePrefix="0" xfId="0">
      <alignment horizontal="center" vertical="center" wrapText="1"/>
    </xf>
    <xf numFmtId="0" fontId="0" fillId="0" borderId="4" pivotButton="0" quotePrefix="0" xfId="0"/>
    <xf numFmtId="0" fontId="0" fillId="0" borderId="5" pivotButton="0" quotePrefix="0" xfId="0"/>
    <xf numFmtId="0" fontId="6" fillId="0" borderId="0" applyAlignment="1" pivotButton="0" quotePrefix="0" xfId="0">
      <alignment vertical="top" wrapText="1"/>
    </xf>
    <xf numFmtId="0" fontId="5" fillId="0" borderId="0" pivotButton="0" quotePrefix="0" xfId="0"/>
    <xf numFmtId="0" fontId="2" fillId="5" borderId="1" applyAlignment="1" pivotButton="0" quotePrefix="0" xfId="0">
      <alignment horizontal="center" vertical="center" wrapText="1"/>
    </xf>
    <xf numFmtId="0" fontId="7" fillId="6" borderId="1" applyAlignment="1" pivotButton="0" quotePrefix="0" xfId="0">
      <alignment vertical="center"/>
    </xf>
    <xf numFmtId="0" fontId="3" fillId="0" borderId="1" applyAlignment="1" pivotButton="0" quotePrefix="0" xfId="0">
      <alignment horizontal="center" vertical="top" wrapText="1"/>
    </xf>
    <xf numFmtId="0" fontId="8" fillId="0" borderId="1" applyAlignment="1" pivotButton="0" quotePrefix="0" xfId="0">
      <alignment vertical="top" wrapText="1"/>
    </xf>
    <xf numFmtId="0" fontId="9" fillId="0" borderId="1" applyAlignment="1" pivotButton="0" quotePrefix="0" xfId="0">
      <alignment horizontal="center" vertical="top" wrapText="1"/>
    </xf>
    <xf numFmtId="0" fontId="9" fillId="0" borderId="1" applyAlignment="1" pivotButton="0" quotePrefix="0" xfId="0">
      <alignment vertical="top" wrapText="1"/>
    </xf>
    <xf numFmtId="0" fontId="10" fillId="4" borderId="0" applyAlignment="1" pivotButton="0" quotePrefix="0" xfId="0">
      <alignment horizontal="left" vertical="center"/>
    </xf>
    <xf numFmtId="0" fontId="10" fillId="5" borderId="0" applyAlignment="1" pivotButton="0" quotePrefix="0" xfId="0">
      <alignment horizontal="left" vertical="center"/>
    </xf>
    <xf numFmtId="0" fontId="10" fillId="3" borderId="0" applyAlignment="1" pivotButton="0" quotePrefix="0" xfId="0">
      <alignment horizontal="left" vertical="center"/>
    </xf>
    <xf numFmtId="0" fontId="10" fillId="2" borderId="0" applyAlignment="1" pivotButton="0" quotePrefix="0" xfId="0">
      <alignment horizontal="left" vertical="center"/>
    </xf>
    <xf numFmtId="0" fontId="2" fillId="7" borderId="1" applyAlignment="1" pivotButton="0" quotePrefix="0" xfId="0">
      <alignment horizontal="center" vertical="center" wrapText="1"/>
    </xf>
    <xf numFmtId="0" fontId="0" fillId="0" borderId="8" pivotButton="0" quotePrefix="0" xfId="0"/>
    <xf numFmtId="0" fontId="11" fillId="0" borderId="1" applyAlignment="1" pivotButton="0" quotePrefix="0" xfId="0">
      <alignment horizontal="center" vertical="center"/>
    </xf>
    <xf numFmtId="0" fontId="3" fillId="0" borderId="1" applyAlignment="1" pivotButton="0" quotePrefix="0" xfId="0">
      <alignment horizontal="center"/>
    </xf>
    <xf numFmtId="0" fontId="12" fillId="0" borderId="1" applyAlignment="1" pivotButton="0" quotePrefix="0" xfId="0">
      <alignment vertical="top" wrapText="1"/>
    </xf>
    <xf numFmtId="0" fontId="3" fillId="0" borderId="1" pivotButton="0" quotePrefix="0" xfId="0"/>
  </cellXfs>
  <cellStyles count="1">
    <cellStyle name="Normal" xfId="0" builtinId="0" hidden="0"/>
  </cellStyles>
  <dxfs count="4">
    <dxf>
      <fill>
        <patternFill patternType="solid">
          <fgColor rgb="00F3F4F6"/>
        </patternFill>
      </fill>
    </dxf>
    <dxf>
      <font>
        <name val="맑은 고딕"/>
        <color rgb="009CA3AF"/>
        <sz val="9"/>
      </font>
      <fill>
        <patternFill patternType="solid">
          <fgColor rgb="00F3F4F6"/>
        </patternFill>
      </fill>
    </dxf>
    <dxf>
      <fill>
        <patternFill patternType="solid">
          <fgColor rgb="00FEE2E2"/>
        </patternFill>
      </fill>
    </dxf>
    <dxf>
      <fill>
        <patternFill patternType="solid">
          <fgColor rgb="00FEF9C3"/>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B2:H158"/>
  <sheetViews>
    <sheetView showGridLines="0" workbookViewId="0">
      <selection activeCell="A1" sqref="A1"/>
    </sheetView>
  </sheetViews>
  <sheetFormatPr baseColWidth="8" defaultRowHeight="15"/>
  <cols>
    <col width="2" customWidth="1" min="1" max="1"/>
    <col width="22" customWidth="1" min="2" max="2"/>
    <col width="44" customWidth="1" min="3" max="3"/>
    <col width="38" customWidth="1" min="4" max="4"/>
    <col width="32" customWidth="1" min="5" max="5"/>
    <col width="24" customWidth="1" min="6" max="6"/>
  </cols>
  <sheetData>
    <row r="2" ht="24" customHeight="1">
      <c r="B2" s="1" t="inlineStr">
        <is>
          <t>성과관리 AI Agent — 신호 카탈로그</t>
        </is>
      </c>
    </row>
    <row r="4" ht="22" customHeight="1">
      <c r="B4" s="2" t="inlineStr">
        <is>
          <t>항목</t>
        </is>
      </c>
      <c r="C4" s="2" t="inlineStr">
        <is>
          <t>내용</t>
        </is>
      </c>
    </row>
    <row r="5" ht="15" customHeight="1">
      <c r="B5" s="3" t="inlineStr">
        <is>
          <t>무엇인가</t>
        </is>
      </c>
      <c r="C5" s="3" t="inlineStr">
        <is>
          <t>성과관리 Agent가 먼저 건네는 알림 카드의 원본. 한 줄이 카드 한 장이 된다</t>
        </is>
      </c>
    </row>
    <row r="6" ht="30" customHeight="1">
      <c r="B6" s="3" t="inlineStr">
        <is>
          <t>판 · 작성일</t>
        </is>
      </c>
      <c r="C6" s="3" t="inlineStr">
        <is>
          <t>v0.3 (2026-07-28) — 카드 UI 슬롯 기준으로 재편. HR 실무 어휘로 문구 전면 정제</t>
        </is>
      </c>
    </row>
    <row r="7" ht="30" customHeight="1">
      <c r="B7" s="3" t="inlineStr">
        <is>
          <t>목표 화면</t>
        </is>
      </c>
      <c r="C7" s="3" t="inlineStr">
        <is>
          <t>performance-agent-card-feed.html — 이 카탈로그의 문구가 그대로 들어가는 화면</t>
        </is>
      </c>
    </row>
    <row r="8" ht="15" customHeight="1">
      <c r="B8" s="3" t="inlineStr">
        <is>
          <t>적용 대상</t>
        </is>
      </c>
      <c r="C8" s="3" t="inlineStr">
        <is>
          <t>휴넬(hunel) 패키지에 내장되는 성과관리 AI Agent</t>
        </is>
      </c>
    </row>
    <row r="9" ht="15" customHeight="1">
      <c r="B9" s="3" t="inlineStr">
        <is>
          <t>담긴 신호</t>
        </is>
      </c>
      <c r="C9" s="3" t="inlineStr">
        <is>
          <t>76건 (채택 69 · 미채택 7). 4단계 × 4수신대상 = 16개 영역을 살펴본 결과</t>
        </is>
      </c>
    </row>
    <row r="10" ht="15" customHeight="1">
      <c r="B10" s="3" t="inlineStr">
        <is>
          <t>원본 기획서</t>
        </is>
      </c>
      <c r="C10" s="3" t="inlineStr">
        <is>
          <t>성과관리Agent_신호근거행동_기획_260728.md</t>
        </is>
      </c>
    </row>
    <row r="11" ht="30" customHeight="1">
      <c r="B11" s="3" t="inlineStr">
        <is>
          <t>데이터 기준</t>
        </is>
      </c>
      <c r="C11" s="3" t="inlineStr">
        <is>
          <t>elizax_talenx 데모 데이터 실측(2026-07-16 기준)을 휴넬 데이터 가용성의 대리 지표로 사용</t>
        </is>
      </c>
    </row>
    <row r="13">
      <c r="B13" s="4" t="inlineStr">
        <is>
          <t>읽는 순서</t>
        </is>
      </c>
    </row>
    <row r="14" ht="22" customHeight="1">
      <c r="B14" s="2" t="inlineStr">
        <is>
          <t>시트</t>
        </is>
      </c>
      <c r="C14" s="2" t="inlineStr">
        <is>
          <t>누가 보나</t>
        </is>
      </c>
      <c r="D14" s="2" t="inlineStr">
        <is>
          <t>담는 것</t>
        </is>
      </c>
    </row>
    <row r="15" ht="15" customHeight="1">
      <c r="B15" s="3" t="inlineStr">
        <is>
          <t>00_읽는법</t>
        </is>
      </c>
      <c r="C15" s="3" t="inlineStr">
        <is>
          <t>모두</t>
        </is>
      </c>
      <c r="D15" s="3" t="inlineStr">
        <is>
          <t>이 시트. 용어 · 신호 유형 · 행동 · 알림 조절 기준</t>
        </is>
      </c>
    </row>
    <row r="16" ht="15" customHeight="1">
      <c r="B16" s="3" t="inlineStr">
        <is>
          <t>01_한눈에보기</t>
        </is>
      </c>
      <c r="C16" s="3" t="inlineStr">
        <is>
          <t>검토자</t>
        </is>
      </c>
      <c r="D16" s="3" t="inlineStr">
        <is>
          <t>신호 → 근거 → 행동 3단 요약. 검토 자리에서는 이 한 장이면 된다</t>
        </is>
      </c>
    </row>
    <row r="17" ht="15" customHeight="1">
      <c r="B17" s="3" t="inlineStr">
        <is>
          <t>02_카드문구</t>
        </is>
      </c>
      <c r="C17" s="3" t="inlineStr">
        <is>
          <t>기획·디자인</t>
        </is>
      </c>
      <c r="D17" s="3" t="inlineStr">
        <is>
          <t>화면에 그대로 들어갈 문구 전부. 카드 제목부터 완료 문구까지 18열</t>
        </is>
      </c>
    </row>
    <row r="18" ht="15" customHeight="1">
      <c r="B18" s="3" t="inlineStr">
        <is>
          <t>03_발생조건</t>
        </is>
      </c>
      <c r="C18" s="3" t="inlineStr">
        <is>
          <t>개발</t>
        </is>
      </c>
      <c r="D18" s="3" t="inlineStr">
        <is>
          <t>알림이 언제 뜨는지, 무엇을 읽는지, 어디에 저장하는지</t>
        </is>
      </c>
    </row>
    <row r="19" ht="15" customHeight="1">
      <c r="B19" s="3" t="inlineStr">
        <is>
          <t>04_영역점검</t>
        </is>
      </c>
      <c r="C19" s="3" t="inlineStr">
        <is>
          <t>검토자</t>
        </is>
      </c>
      <c r="D19" s="3" t="inlineStr">
        <is>
          <t>16개 영역이 얼마나 채워졌는지 + 비운 이유</t>
        </is>
      </c>
    </row>
    <row r="20" ht="15" customHeight="1">
      <c r="B20" s="3" t="inlineStr">
        <is>
          <t>05_어휘·문구규칙</t>
        </is>
      </c>
      <c r="C20" s="3" t="inlineStr">
        <is>
          <t>문구를 쓰는 사람</t>
        </is>
      </c>
      <c r="D20" s="3" t="inlineStr">
        <is>
          <t>쓰지 않는 말 · 정본 용어 · 슬롯별 작성 규칙</t>
        </is>
      </c>
    </row>
    <row r="22">
      <c r="B22" s="4" t="inlineStr">
        <is>
          <t>카드 한 장의 구조 — 02_카드문구의 열이 곧 화면의 자리</t>
        </is>
      </c>
    </row>
    <row r="23" ht="22" customHeight="1">
      <c r="B23" s="5" t="inlineStr">
        <is>
          <t>화면 위치</t>
        </is>
      </c>
      <c r="C23" s="5" t="inlineStr">
        <is>
          <t>02_카드문구 열</t>
        </is>
      </c>
      <c r="D23" s="5" t="inlineStr">
        <is>
          <t>예시</t>
        </is>
      </c>
    </row>
    <row r="24" ht="15" customHeight="1">
      <c r="B24" s="3" t="inlineStr">
        <is>
          <t>카드 제목</t>
        </is>
      </c>
      <c r="C24" s="3" t="inlineStr">
        <is>
          <t>G 신호 문장</t>
        </is>
      </c>
      <c r="D24" s="3" t="inlineStr">
        <is>
          <t>팀원 B님 체크인이 3주째 비어 있어요</t>
        </is>
      </c>
    </row>
    <row r="25" ht="15" customHeight="1">
      <c r="B25" s="3" t="inlineStr">
        <is>
          <t>접힌 상태 한 줄</t>
        </is>
      </c>
      <c r="C25" s="3" t="inlineStr">
        <is>
          <t>H 신호 근거 한 줄</t>
        </is>
      </c>
      <c r="D25" s="3" t="inlineStr">
        <is>
          <t>마지막 체크인 이후 21일이 지났어요</t>
        </is>
      </c>
    </row>
    <row r="26" ht="15" customHeight="1">
      <c r="B26" s="3" t="inlineStr">
        <is>
          <t>펼치면 나오는 근거 3줄</t>
        </is>
      </c>
      <c r="C26" s="3" t="inlineStr">
        <is>
          <t>I · J · K 펼침 근거 ①②③</t>
        </is>
      </c>
      <c r="D26" s="3" t="inlineStr">
        <is>
          <t>팀 평균은 8일인데 B님은 21일이에요</t>
        </is>
      </c>
    </row>
    <row r="27" ht="15" customHeight="1">
      <c r="B27" s="3" t="inlineStr">
        <is>
          <t>초안 위 라벨</t>
        </is>
      </c>
      <c r="C27" s="3" t="inlineStr">
        <is>
          <t>L 초안 라벨</t>
        </is>
      </c>
      <c r="D27" s="3" t="inlineStr">
        <is>
          <t>행동 · 리마인드 초안 (수정할 수 있어요)</t>
        </is>
      </c>
    </row>
    <row r="28" ht="15" customHeight="1">
      <c r="B28" s="3" t="inlineStr">
        <is>
          <t>초안 본문 (편집 가능)</t>
        </is>
      </c>
      <c r="C28" s="3" t="inlineStr">
        <is>
          <t>M 초안 본문</t>
        </is>
      </c>
      <c r="D28" s="3" t="inlineStr">
        <is>
          <t>Agent가 써 준 문장. 사람이 고쳐서 확정한다</t>
        </is>
      </c>
    </row>
    <row r="29" ht="15" customHeight="1">
      <c r="B29" s="3" t="inlineStr">
        <is>
          <t>확정 버튼</t>
        </is>
      </c>
      <c r="C29" s="3" t="inlineStr">
        <is>
          <t>N 확정 버튼</t>
        </is>
      </c>
      <c r="D29" s="3" t="inlineStr">
        <is>
          <t>리마인드 보내기</t>
        </is>
      </c>
    </row>
    <row r="30" ht="15" customHeight="1">
      <c r="B30" s="3" t="inlineStr">
        <is>
          <t>Agent와 상의할 때 첫 말</t>
        </is>
      </c>
      <c r="C30" s="3" t="inlineStr">
        <is>
          <t>O Agent 첫 말</t>
        </is>
      </c>
      <c r="D30" s="3" t="inlineStr">
        <is>
          <t>리마인드 초안을 만들어봤어요. 톤을 조정할까요?</t>
        </is>
      </c>
    </row>
    <row r="31" ht="15" customHeight="1">
      <c r="B31" s="3" t="inlineStr">
        <is>
          <t>초안을 바꾸는 버튼 3개</t>
        </is>
      </c>
      <c r="C31" s="3" t="inlineStr">
        <is>
          <t>P 후속 요청 버튼</t>
        </is>
      </c>
      <c r="D31" s="3" t="inlineStr">
        <is>
          <t>더 부드럽게 · 마감 강조 · 개별 메시지로</t>
        </is>
      </c>
    </row>
    <row r="32" ht="15" customHeight="1">
      <c r="B32" s="3" t="inlineStr">
        <is>
          <t>확정 후 화면</t>
        </is>
      </c>
      <c r="C32" s="3" t="inlineStr">
        <is>
          <t>Q · R 완료 제목 · 부연</t>
        </is>
      </c>
      <c r="D32" s="3" t="inlineStr">
        <is>
          <t>리마인드를 보냈어요 / 두 팀원에게 개별 전달됐습니다.</t>
        </is>
      </c>
    </row>
    <row r="34" ht="15" customHeight="1">
      <c r="B34" s="6" t="inlineStr">
        <is>
          <t>Agent는 근거를 모아 초안까지 준비하고, 최종 결정은 사람이 한다. 알릴지 말지를 고르는 일은 시스템 규칙이 하고(03_발생조건), 문장을 다듬고 초안을 쓰는 일만 Agent가 한다.</t>
        </is>
      </c>
    </row>
    <row r="36">
      <c r="B36" s="4" t="inlineStr">
        <is>
          <t>신호 유형 5종 — 카드 색이 유형을 알려준다</t>
        </is>
      </c>
    </row>
    <row r="37" ht="22" customHeight="1">
      <c r="B37" s="7" t="inlineStr">
        <is>
          <t>유형</t>
        </is>
      </c>
      <c r="C37" s="7" t="inlineStr">
        <is>
          <t>카드 색</t>
        </is>
      </c>
      <c r="D37" s="7" t="inlineStr">
        <is>
          <t>어떤 변화인가</t>
        </is>
      </c>
      <c r="E37" s="7" t="inlineStr">
        <is>
          <t>이 유형만 할 수 있는 것</t>
        </is>
      </c>
    </row>
    <row r="38" ht="15" customHeight="1">
      <c r="B38" s="3" t="inlineStr">
        <is>
          <t>T1 기한 도래</t>
        </is>
      </c>
      <c r="C38" s="3" t="inlineStr">
        <is>
          <t>◈ amber</t>
        </is>
      </c>
      <c r="D38" s="3" t="inlineStr">
        <is>
          <t>기간이 열렸거나 마감이 다가옴·지났음</t>
        </is>
      </c>
      <c r="E38" s="3" t="inlineStr">
        <is>
          <t>어느 인사 시스템이나 한다</t>
        </is>
      </c>
    </row>
    <row r="39" ht="15" customHeight="1">
      <c r="B39" s="3" t="inlineStr">
        <is>
          <t>T2 작성 공백</t>
        </is>
      </c>
      <c r="C39" s="3" t="inlineStr">
        <is>
          <t>◇ coral</t>
        </is>
      </c>
      <c r="D39" s="3" t="inlineStr">
        <is>
          <t>써야 할 게 비었거나 며칠째 그대로임</t>
        </is>
      </c>
      <c r="E39" s="3" t="inlineStr">
        <is>
          <t>마지막 수정일이 있어야 한다</t>
        </is>
      </c>
    </row>
    <row r="40" ht="15" customHeight="1">
      <c r="B40" s="3" t="inlineStr">
        <is>
          <t>T3 기준 이탈</t>
        </is>
      </c>
      <c r="C40" s="3" t="inlineStr">
        <is>
          <t>◐ purple</t>
        </is>
      </c>
      <c r="D40" s="3" t="inlineStr">
        <is>
          <t>수치가 기준선 밖으로 나감</t>
        </is>
      </c>
      <c r="E40" s="3" t="inlineStr">
        <is>
          <t>비교할 조직 평균이 있어야 한다</t>
        </is>
      </c>
    </row>
    <row r="41" ht="15" customHeight="1">
      <c r="B41" s="3" t="inlineStr">
        <is>
          <t>T4 연결 불일치</t>
        </is>
      </c>
      <c r="C41" s="3" t="inlineStr">
        <is>
          <t>◎ blue</t>
        </is>
      </c>
      <c r="D41" s="3" t="inlineStr">
        <is>
          <t>목표·직무·평가의 연결이 어긋남</t>
        </is>
      </c>
      <c r="E41" s="3" t="inlineStr">
        <is>
          <t>조직·직무 정보가 있어야만 가능</t>
        </is>
      </c>
    </row>
    <row r="42" ht="15" customHeight="1">
      <c r="B42" s="3" t="inlineStr">
        <is>
          <t>T5 상황 변동</t>
        </is>
      </c>
      <c r="C42" s="3" t="inlineStr">
        <is>
          <t>◆ green</t>
        </is>
      </c>
      <c r="D42" s="3" t="inlineStr">
        <is>
          <t>발령·조직 개편·피드백 도착 등 사건 발생</t>
        </is>
      </c>
      <c r="E42" s="3" t="inlineStr">
        <is>
          <t>휴넬만 할 수 있다</t>
        </is>
      </c>
    </row>
    <row r="44">
      <c r="B44" s="4" t="inlineStr">
        <is>
          <t>수신 대상 4종 — 같은 변화도 보는 자리에 따라 다른 카드가 된다</t>
        </is>
      </c>
    </row>
    <row r="45" ht="22" customHeight="1">
      <c r="B45" s="7" t="inlineStr">
        <is>
          <t>수신 대상</t>
        </is>
      </c>
      <c r="C45" s="7" t="inlineStr">
        <is>
          <t>무엇을 기준으로 보나</t>
        </is>
      </c>
      <c r="D45" s="7" t="inlineStr">
        <is>
          <t>이 사람에게 카드가 뜨는 조건</t>
        </is>
      </c>
      <c r="E45" s="7" t="inlineStr">
        <is>
          <t>무엇을 하게 되나</t>
        </is>
      </c>
    </row>
    <row r="46" ht="15" customHeight="1">
      <c r="B46" s="3" t="inlineStr">
        <is>
          <t>구성원</t>
        </is>
      </c>
      <c r="C46" s="3" t="inlineStr">
        <is>
          <t>나 자신</t>
        </is>
      </c>
      <c r="D46" s="3" t="inlineStr">
        <is>
          <t>변화의 대상이 나일 때. 남의 변화는 나와의 연결이 설명될 때만</t>
        </is>
      </c>
      <c r="E46" s="3" t="inlineStr">
        <is>
          <t>직접 쓰고 고친다</t>
        </is>
      </c>
    </row>
    <row r="47" ht="15" customHeight="1">
      <c r="B47" s="3" t="inlineStr">
        <is>
          <t>팀장(1차 평가자)</t>
        </is>
      </c>
      <c r="C47" s="3" t="inlineStr">
        <is>
          <t>팀원 한 사람씩</t>
        </is>
      </c>
      <c r="D47" s="3" t="inlineStr">
        <is>
          <t>변화의 대상이 직속 팀원일 때</t>
        </is>
      </c>
      <c r="E47" s="3" t="inlineStr">
        <is>
          <t>챙기고 독려하고 1차 판단한다</t>
        </is>
      </c>
    </row>
    <row r="48" ht="15" customHeight="1">
      <c r="B48" s="3" t="inlineStr">
        <is>
          <t>상위 조직장(2차 평가자)</t>
        </is>
      </c>
      <c r="C48" s="3" t="inlineStr">
        <is>
          <t>팀 단위 / 1차 평가자</t>
        </is>
      </c>
      <c r="D48" s="3" t="inlineStr">
        <is>
          <t>개별 팀원 건은 올리지 않는다. 팀 합계 또는 1차 평가자가 한 일만</t>
        </is>
      </c>
      <c r="E48" s="3" t="inlineStr">
        <is>
          <t>조정 요청·재검토 요구·승인</t>
        </is>
      </c>
    </row>
    <row r="49" ht="15" customHeight="1">
      <c r="B49" s="3" t="inlineStr">
        <is>
          <t>HR·경영진</t>
        </is>
      </c>
      <c r="C49" s="3" t="inlineStr">
        <is>
          <t>조직 전체</t>
        </is>
      </c>
      <c r="D49" s="3" t="inlineStr">
        <is>
          <t>조직·전사 합계, 진행률, 제도에서 벗어난 곳. 개인은 특정하지 않는다</t>
        </is>
      </c>
      <c r="E49" s="3" t="inlineStr">
        <is>
          <t>HR = 제도 운영 / 경영진 = 조직·자원 판단</t>
        </is>
      </c>
    </row>
    <row r="51" ht="30" customHeight="1">
      <c r="B51" s="6" t="inlineStr">
        <is>
          <t>위로 올릴 때 3조건 — ① 합쳐서 볼 수 있는가 ② 아래 사람이 먼저 처리할 기회를 가졌는가 ③ 상위 대상이 실제로 할 수 있는 일이 있는가. 셋 다 맞을 때만 상위 대상 카드를 만든다.</t>
        </is>
      </c>
    </row>
    <row r="53">
      <c r="B53" s="4" t="inlineStr">
        <is>
          <t>행동 6종 — 확정 버튼을 누르면 벌어지는 일</t>
        </is>
      </c>
    </row>
    <row r="54" ht="22" customHeight="1">
      <c r="B54" s="5" t="inlineStr">
        <is>
          <t>행동</t>
        </is>
      </c>
      <c r="C54" s="5" t="inlineStr">
        <is>
          <t>무엇을 하나</t>
        </is>
      </c>
      <c r="D54" s="5" t="inlineStr">
        <is>
          <t>어디에 남나</t>
        </is>
      </c>
      <c r="E54" s="5" t="inlineStr">
        <is>
          <t>주로 쓰는 대상</t>
        </is>
      </c>
    </row>
    <row r="55" ht="15" customHeight="1">
      <c r="B55" s="3" t="inlineStr">
        <is>
          <t>A1 작성</t>
        </is>
      </c>
      <c r="C55" s="3" t="inlineStr">
        <is>
          <t>초안을 확인하고 확정해서 새로 남긴다</t>
        </is>
      </c>
      <c r="D55" s="3" t="inlineStr">
        <is>
          <t>체크인·자기평가·목표 기록</t>
        </is>
      </c>
      <c r="E55" s="3" t="inlineStr">
        <is>
          <t>구성원</t>
        </is>
      </c>
    </row>
    <row r="56" ht="15" customHeight="1">
      <c r="B56" s="3" t="inlineStr">
        <is>
          <t>A2 수정</t>
        </is>
      </c>
      <c r="C56" s="3" t="inlineStr">
        <is>
          <t>이미 있는 내용을 고친다</t>
        </is>
      </c>
      <c r="D56" s="3" t="inlineStr">
        <is>
          <t>기존 기록 + 수정 이력</t>
        </is>
      </c>
      <c r="E56" s="3" t="inlineStr">
        <is>
          <t>구성원, 팀장</t>
        </is>
      </c>
    </row>
    <row r="57" ht="15" customHeight="1">
      <c r="B57" s="3" t="inlineStr">
        <is>
          <t>A3 전달</t>
        </is>
      </c>
      <c r="C57" s="3" t="inlineStr">
        <is>
          <t>상대에게 메시지를 보낸다</t>
        </is>
      </c>
      <c r="D57" s="3" t="inlineStr">
        <is>
          <t>메시지 + 발송·열람 기록</t>
        </is>
      </c>
      <c r="E57" s="3" t="inlineStr">
        <is>
          <t>팀장, 상위 조직장, HR</t>
        </is>
      </c>
    </row>
    <row r="58" ht="15" customHeight="1">
      <c r="B58" s="3" t="inlineStr">
        <is>
          <t>A4 면담</t>
        </is>
      </c>
      <c r="C58" s="3" t="inlineStr">
        <is>
          <t>1on1·검토 회의를 잡고 이야기할 항목을 붙인다</t>
        </is>
      </c>
      <c r="D58" s="3" t="inlineStr">
        <is>
          <t>일정 + 아젠다 기록</t>
        </is>
      </c>
      <c r="E58" s="3" t="inlineStr">
        <is>
          <t>팀장, 상위 조직장</t>
        </is>
      </c>
    </row>
    <row r="59" ht="15" customHeight="1">
      <c r="B59" s="3" t="inlineStr">
        <is>
          <t>A5 확인</t>
        </is>
      </c>
      <c r="C59" s="3" t="inlineStr">
        <is>
          <t>결정하기 전에 들여다본다</t>
        </is>
      </c>
      <c r="D59" s="3" t="inlineStr">
        <is>
          <t>남지 않는다 (조회만)</t>
        </is>
      </c>
      <c r="E59" s="3" t="inlineStr">
        <is>
          <t>상위 조직장, HR·경영진</t>
        </is>
      </c>
    </row>
    <row r="60" ht="15" customHeight="1">
      <c r="B60" s="3" t="inlineStr">
        <is>
          <t>A6 요청</t>
        </is>
      </c>
      <c r="C60" s="3" t="inlineStr">
        <is>
          <t>조정·재검토·제도 개입을 요청한다</t>
        </is>
      </c>
      <c r="D60" s="3" t="inlineStr">
        <is>
          <t>요청 기록 + 승인 흐름</t>
        </is>
      </c>
      <c r="E60" s="3" t="inlineStr">
        <is>
          <t>상위 조직장, HR·경영진</t>
        </is>
      </c>
    </row>
    <row r="62" ht="15" customHeight="1">
      <c r="B62" s="6" t="inlineStr">
        <is>
          <t>남을 곳이 없으면 그 카드는 만들지 않는다. 영역마다 A5(확인)가 아닌 행동을 최소 1개 둔다.</t>
        </is>
      </c>
    </row>
    <row r="64">
      <c r="B64" s="4" t="inlineStr">
        <is>
          <t>알림 조절 기준 — 카드가 너무 자주 뜨지 않게</t>
        </is>
      </c>
    </row>
    <row r="65" ht="22" customHeight="1">
      <c r="B65" s="2" t="inlineStr">
        <is>
          <t>규칙</t>
        </is>
      </c>
      <c r="C65" s="2" t="inlineStr">
        <is>
          <t>기본값</t>
        </is>
      </c>
      <c r="D65" s="2" t="inlineStr">
        <is>
          <t>안 정하면</t>
        </is>
      </c>
    </row>
    <row r="66" ht="15" customHeight="1">
      <c r="B66" s="3" t="inlineStr">
        <is>
          <t>재알림 간격</t>
        </is>
      </c>
      <c r="C66" s="3" t="inlineStr">
        <is>
          <t>개인 7일 / 팀·조직 합계 14일 / 마감 임박 3일 / 사건성(T5) 1회만</t>
        </is>
      </c>
      <c r="D66" s="3" t="inlineStr">
        <is>
          <t>같은 카드가 매일 뜬다</t>
        </is>
      </c>
    </row>
    <row r="67" ht="30" customHeight="1">
      <c r="B67" s="3" t="inlineStr">
        <is>
          <t>위쪽에 떴으면 생략</t>
        </is>
      </c>
      <c r="C67" s="3" t="inlineStr">
        <is>
          <t>같은 원인으로 위쪽에 카드가 떴으면 아래쪽 중복 카드는 만들지 않는다. 반대로 팀장이 볼 기회도 없이 상위 조직장·HR에 먼저 알리지 않는다</t>
        </is>
      </c>
      <c r="D67" s="3" t="inlineStr">
        <is>
          <t>같은 건이 두 번 뜬다</t>
        </is>
      </c>
    </row>
    <row r="68" ht="15" customHeight="1">
      <c r="B68" s="3" t="inlineStr">
        <is>
          <t>처리하면 사라짐</t>
        </is>
      </c>
      <c r="C68" s="3" t="inlineStr">
        <is>
          <t>확정 버튼을 누르면 카드는 즉시 사라지고 결과만 기록에 남는다</t>
        </is>
      </c>
      <c r="D68" s="3" t="inlineStr">
        <is>
          <t>처리한 카드가 계속 남는다</t>
        </is>
      </c>
    </row>
    <row r="69" ht="15" customHeight="1">
      <c r="B69" s="3" t="inlineStr">
        <is>
          <t>최소 건수</t>
        </is>
      </c>
      <c r="C69" s="3" t="inlineStr">
        <is>
          <t>개인 해당 없음 / 팀 합계 3건 또는 30% / 조직·전사 합계 5건 또는 20%</t>
        </is>
      </c>
      <c r="D69" s="3" t="inlineStr">
        <is>
          <t>상위 조직장·HR 카드가 늘 떠 있다</t>
        </is>
      </c>
    </row>
    <row r="71">
      <c r="B71" s="4" t="inlineStr">
        <is>
          <t>채택 기준</t>
        </is>
      </c>
    </row>
    <row r="72" ht="22" customHeight="1">
      <c r="B72" s="2" t="inlineStr">
        <is>
          <t>기준</t>
        </is>
      </c>
      <c r="C72" s="2" t="inlineStr">
        <is>
          <t>질문</t>
        </is>
      </c>
      <c r="D72" s="2" t="inlineStr">
        <is>
          <t>점수</t>
        </is>
      </c>
      <c r="E72" s="2" t="inlineStr">
        <is>
          <t>컷라인</t>
        </is>
      </c>
    </row>
    <row r="73" ht="15" customHeight="1">
      <c r="B73" s="3" t="inlineStr">
        <is>
          <t>도움도</t>
        </is>
      </c>
      <c r="C73" s="3" t="inlineStr">
        <is>
          <t>놓치면 아쉬운 카드인가</t>
        </is>
      </c>
      <c r="D73" s="3" t="inlineStr">
        <is>
          <t>크다 3 / 보통 2 / 작다 1</t>
        </is>
      </c>
      <c r="E73" s="3" t="inlineStr">
        <is>
          <t>합계 6점 미만은 미채택</t>
        </is>
      </c>
    </row>
    <row r="74" ht="15" customHeight="1">
      <c r="B74" s="3" t="inlineStr">
        <is>
          <t>발생빈도</t>
        </is>
      </c>
      <c r="C74" s="3" t="inlineStr">
        <is>
          <t>드물면 카드 목록이 빈다</t>
        </is>
      </c>
      <c r="D74" s="3" t="inlineStr">
        <is>
          <t>자주 3 / 보통 2 / 드묾 1</t>
        </is>
      </c>
      <c r="E74" s="3" t="inlineStr">
        <is>
          <t>고유성 1점이면 "범용"</t>
        </is>
      </c>
    </row>
    <row r="75" ht="15" customHeight="1">
      <c r="B75" s="3" t="inlineStr">
        <is>
          <t>고유성</t>
        </is>
      </c>
      <c r="C75" s="3" t="inlineStr">
        <is>
          <t>휴넬 정보가 있어야만 알 수 있는가</t>
        </is>
      </c>
      <c r="D75" s="3" t="inlineStr">
        <is>
          <t>그렇다 3 / 일부 2 / 아니다 1</t>
        </is>
      </c>
      <c r="E75" s="3" t="inlineStr">
        <is>
          <t>영역별 목표 = 범용 1 + 고유 1 이상</t>
        </is>
      </c>
    </row>
    <row r="77" ht="15" customHeight="1">
      <c r="B77" s="6" t="inlineStr">
        <is>
          <t>범용 = 어느 인사 시스템이나 하는 카드(주로 마감 안내). 고유 = 조직·직무·발령 정보가 있어야 나오는 카드. 고유가 없으면 결국 마감 알림 모음이 된다.</t>
        </is>
      </c>
    </row>
    <row r="79">
      <c r="B79" s="4" t="inlineStr">
        <is>
          <t>담당자에게 확인할 것 (76건) — 03_발생조건 T열을 모은 것</t>
        </is>
      </c>
    </row>
    <row r="80">
      <c r="B80" s="2" t="inlineStr">
        <is>
          <t>No.</t>
        </is>
      </c>
      <c r="C80" s="2" t="inlineStr">
        <is>
          <t>신호 ID</t>
        </is>
      </c>
      <c r="D80" s="2" t="inlineStr">
        <is>
          <t>단계 · 수신 대상</t>
        </is>
      </c>
      <c r="E80" s="2" t="inlineStr">
        <is>
          <t>확인할 것</t>
        </is>
      </c>
    </row>
    <row r="81" ht="30" customHeight="1">
      <c r="B81" s="3" t="n">
        <v>1</v>
      </c>
      <c r="C81" s="3" t="inlineStr">
        <is>
          <t>목표수립-구성원-01</t>
        </is>
      </c>
      <c r="D81" s="3" t="inlineStr">
        <is>
          <t>목표수립 · 구성원</t>
        </is>
      </c>
      <c r="E81" s="3" t="inlineStr">
        <is>
          <t>평가·목표 기간 일정 마스터(개시일·마감일·리마인드 기준일)가 없어 현재는 목표의 기간 문자열(FY2026-2Q)에서 파생해야 함 — 일정 마스터 신설 확인 필요(T1 신호 전체의 전제)</t>
        </is>
      </c>
      <c r="F81" s="8" t="n"/>
      <c r="G81" s="8" t="n"/>
      <c r="H81" s="9" t="n"/>
    </row>
    <row r="82" ht="15" customHeight="1">
      <c r="B82" s="3" t="n">
        <v>2</v>
      </c>
      <c r="C82" s="3" t="inlineStr">
        <is>
          <t>목표수립-구성원-02</t>
        </is>
      </c>
      <c r="D82" s="3" t="inlineStr">
        <is>
          <t>목표수립 · 구성원</t>
        </is>
      </c>
      <c r="E82" s="3" t="inlineStr">
        <is>
          <t>목표의 저장일·최종 수정 일시(updated_at)가 어디에도 없어 '7일 경과' 확인 불가 — 확인 1순위. 핵심결과 146건·목표 40건은 실측 확인</t>
        </is>
      </c>
      <c r="F82" s="8" t="n"/>
      <c r="G82" s="8" t="n"/>
      <c r="H82" s="9" t="n"/>
    </row>
    <row r="83" ht="15" customHeight="1">
      <c r="B83" s="3" t="n">
        <v>3</v>
      </c>
      <c r="C83" s="3" t="inlineStr">
        <is>
          <t>목표수립-구성원-03</t>
        </is>
      </c>
      <c r="D83" s="3" t="inlineStr">
        <is>
          <t>목표수립 · 구성원</t>
        </is>
      </c>
      <c r="E83" s="3" t="inlineStr">
        <is>
          <t>가중치 합 100% 규정이 제도로 정해져 있는지 확인 필요. 핵심결과 가중치 필드는 146건 실측 확인. 수정 이력 보관 위치는 없어 신설 확인 필요</t>
        </is>
      </c>
      <c r="F83" s="8" t="n"/>
      <c r="G83" s="8" t="n"/>
      <c r="H83" s="9" t="n"/>
    </row>
    <row r="84" ht="30" customHeight="1">
      <c r="B84" s="3" t="n">
        <v>4</v>
      </c>
      <c r="C84" s="3" t="inlineStr">
        <is>
          <t>목표수립-구성원-04</t>
        </is>
      </c>
      <c r="D84" s="3" t="inlineStr">
        <is>
          <t>목표수립 · 구성원</t>
        </is>
      </c>
      <c r="E84" s="3" t="inlineStr">
        <is>
          <t>핵심결과의 직무 과업 참조 100%·역량 연결 D1~D5·직무프로파일 98종의 역량 가중치는 실측 확인. 목표의 직무 참조는 80%여서 빠진 20%는 확인 보류. 상위 목표 미연계(목표 연결률 95%, 미연계 5%)를 같은 조건에 넣을지 확인 필요</t>
        </is>
      </c>
      <c r="F84" s="8" t="n"/>
      <c r="G84" s="8" t="n"/>
      <c r="H84" s="9" t="n"/>
    </row>
    <row r="85" ht="30" customHeight="1">
      <c r="B85" s="3" t="n">
        <v>5</v>
      </c>
      <c r="C85" s="3" t="inlineStr">
        <is>
          <t>목표수립-구성원-05</t>
        </is>
      </c>
      <c r="D85" s="3" t="inlineStr">
        <is>
          <t>목표수립 · 구성원</t>
        </is>
      </c>
      <c r="E85" s="3" t="inlineStr">
        <is>
          <t>발령·직무이동 이력 채움률 0.5%(221명 중 1명) — 휴넬/JaDE 발령 원천 연동이 이 신호의 전제(T5 간판). 같은 원인으로 팀장(1차 평가자)에게도 뜰 수 있어, 구성원이 먼저 보고 7일 안에 처리하지 않을 때만 상위로 올리도록 순서 지정 필요</t>
        </is>
      </c>
      <c r="F85" s="8" t="n"/>
      <c r="G85" s="8" t="n"/>
      <c r="H85" s="9" t="n"/>
    </row>
    <row r="86" ht="30" customHeight="1">
      <c r="B86" s="3" t="n">
        <v>6</v>
      </c>
      <c r="C86" s="3" t="inlineStr">
        <is>
          <t>목표수립-팀장-01</t>
        </is>
      </c>
      <c r="D86" s="3" t="inlineStr">
        <is>
          <t>목표수립 · 팀장(1차 평가자)</t>
        </is>
      </c>
      <c r="E86" s="3" t="inlineStr">
        <is>
          <t>목표·평가 기간 일정 마스터가 없어 마감일을 목표의 기간 문자열에서 파생 중 — 일정 마스터 신설 확인 필요. 메시지 보냄·받음 기록도 서버 보존 신설 필요. 같은 원인 카드가 구성원에게 먼저 뜨므로 1차 카드는 마감 3일 전부터만 만든다</t>
        </is>
      </c>
      <c r="F86" s="8" t="n"/>
      <c r="G86" s="8" t="n"/>
      <c r="H86" s="9" t="n"/>
    </row>
    <row r="87" ht="30" customHeight="1">
      <c r="B87" s="3" t="n">
        <v>7</v>
      </c>
      <c r="C87" s="3" t="inlineStr">
        <is>
          <t>목표수립-팀장-02</t>
        </is>
      </c>
      <c r="D87" s="3" t="inlineStr">
        <is>
          <t>목표수립 · 팀장(1차 평가자)</t>
        </is>
      </c>
      <c r="E87" s="3" t="inlineStr">
        <is>
          <t>핵심결과 건수는 실측 확인됨(146건). 목표 레코드에 최종 수정 일시가 없어 기간 개시일 기준으로만 확인 가능 — 일정 마스터와 수정 일시 확인 필요. 구성원에게 같은 원인 카드가 먼저 뜨며 7일 내 미처리일 때만 1차에 만든다</t>
        </is>
      </c>
      <c r="F87" s="8" t="n"/>
      <c r="G87" s="8" t="n"/>
      <c r="H87" s="9" t="n"/>
    </row>
    <row r="88" ht="30" customHeight="1">
      <c r="B88" s="3" t="n">
        <v>8</v>
      </c>
      <c r="C88" s="3" t="inlineStr">
        <is>
          <t>목표수립-팀장-03</t>
        </is>
      </c>
      <c r="D88" s="3" t="inlineStr">
        <is>
          <t>목표수립 · 팀장(1차 평가자)</t>
        </is>
      </c>
      <c r="E88" s="3" t="inlineStr">
        <is>
          <t>난이도(A~C)와 난이도 근거는 실측 있으나, 난이도가 낮게 몰린 것이 곧 고쳐야 할 상태라고 볼 기준이 제도에 없어 제외. 난이도 근거(98.6%)를 쓰는 판단 규칙이 정해지면 다시 검토</t>
        </is>
      </c>
      <c r="F88" s="8" t="n"/>
      <c r="G88" s="8" t="n"/>
      <c r="H88" s="9" t="n"/>
    </row>
    <row r="89" ht="30" customHeight="1">
      <c r="B89" s="3" t="n">
        <v>9</v>
      </c>
      <c r="C89" s="3" t="inlineStr">
        <is>
          <t>목표수립-팀장-04</t>
        </is>
      </c>
      <c r="D89" s="3" t="inlineStr">
        <is>
          <t>목표수립 · 팀장(1차 평가자)</t>
        </is>
      </c>
      <c r="E89" s="3" t="inlineStr">
        <is>
          <t>상위목표 연결 95%·전략과제 연결 100% 실측 확인됨. 팀장이 팀원 목표의 연결을 직접 고칠 권한이 있는지 확인 필요 — 권한이 없으면 A3 보내기로 바꾼다. 목표 수정 이력 저장 위치 없음</t>
        </is>
      </c>
      <c r="F89" s="8" t="n"/>
      <c r="G89" s="8" t="n"/>
      <c r="H89" s="9" t="n"/>
    </row>
    <row r="90" ht="30" customHeight="1">
      <c r="B90" s="3" t="n">
        <v>10</v>
      </c>
      <c r="C90" s="3" t="inlineStr">
        <is>
          <t>목표수립-팀장-05</t>
        </is>
      </c>
      <c r="D90" s="3" t="inlineStr">
        <is>
          <t>목표수립 · 팀장(1차 평가자)</t>
        </is>
      </c>
      <c r="E90" s="3" t="inlineStr">
        <is>
          <t>발령·직무이동 이력 채움률 0.5%(221명 중 1명) — 휴넬·JaDE 발령 원천 연동이 이 신호의 전제. 1on1 기록은 브라우저 80건 롤링뿐이어서 서버 보존 신설 필요</t>
        </is>
      </c>
      <c r="F90" s="8" t="n"/>
      <c r="G90" s="8" t="n"/>
      <c r="H90" s="9" t="n"/>
    </row>
    <row r="91" ht="30" customHeight="1">
      <c r="B91" s="3" t="n">
        <v>11</v>
      </c>
      <c r="C91" s="3" t="inlineStr">
        <is>
          <t>목표수립-상위조직장-01</t>
        </is>
      </c>
      <c r="D91" s="3" t="inlineStr">
        <is>
          <t>목표수립 · 상위 조직장(2차 평가자)</t>
        </is>
      </c>
      <c r="E91" s="3" t="inlineStr">
        <is>
          <t>목표 기간 일정 마스터(개시일·마감일)가 없어 현재는 목표의 기간 문자열에서 파생 — 신설 필요. 알림 조절: 같은 원인으로 각 1차 평가자에게 팀원별 미수립 알림이 먼저 뜬 뒤에만 이 팀 합계 카드를 만든다(1차 선행). 개별 팀원 미수립 건은 2차에 올리지 않는다</t>
        </is>
      </c>
      <c r="F91" s="8" t="n"/>
      <c r="G91" s="8" t="n"/>
      <c r="H91" s="9" t="n"/>
    </row>
    <row r="92" ht="30" customHeight="1">
      <c r="B92" s="3" t="n">
        <v>12</v>
      </c>
      <c r="C92" s="3" t="inlineStr">
        <is>
          <t>목표수립-상위조직장-02</t>
        </is>
      </c>
      <c r="D92" s="3" t="inlineStr">
        <is>
          <t>목표수립 · 상위 조직장(2차 평가자)</t>
        </is>
      </c>
      <c r="E92" s="3" t="inlineStr">
        <is>
          <t>목표 확정(승인) 기록과 시각이 현재 없음 — 신설 필요. 1차 평가자 매핑 필드 확인/신설 필요. 관측 대상은 팀원이 아니라 1차 평가자의 검토 행위. 알림 조절: 팀원 개인의 목표 미작성 건은 1차에게만 뜨고, 2차에는 평가자 단위 합계로만 올린다</t>
        </is>
      </c>
      <c r="F92" s="8" t="n"/>
      <c r="G92" s="8" t="n"/>
      <c r="H92" s="9" t="n"/>
    </row>
    <row r="93" ht="30" customHeight="1">
      <c r="B93" s="3" t="n">
        <v>13</v>
      </c>
      <c r="C93" s="3" t="inlineStr">
        <is>
          <t>목표수립-상위조직장-03</t>
        </is>
      </c>
      <c r="D93" s="3" t="inlineStr">
        <is>
          <t>목표수립 · 상위 조직장(2차 평가자)</t>
        </is>
      </c>
      <c r="E93" s="3" t="inlineStr">
        <is>
          <t>난이도(A~C)와 난이도 근거는 실측 존재(146건 중 98.6%). 회의 기록이 브라우저 80건 롤링이라 서버 보존 신설 필요. 알림 조절: 핵심결과 1건의 난이도 문제는 소유자·1차에게만 뜨고, 2차에는 팀 분포로만 올린다</t>
        </is>
      </c>
      <c r="F93" s="8" t="n"/>
      <c r="G93" s="8" t="n"/>
      <c r="H93" s="9" t="n"/>
    </row>
    <row r="94" ht="30" customHeight="1">
      <c r="B94" s="3" t="n">
        <v>14</v>
      </c>
      <c r="C94" s="3" t="inlineStr">
        <is>
          <t>목표수립-상위조직장-04</t>
        </is>
      </c>
      <c r="D94" s="3" t="inlineStr">
        <is>
          <t>목표수립 · 상위 조직장(2차 평가자)</t>
        </is>
      </c>
      <c r="E94" s="3" t="inlineStr">
        <is>
          <t>목표 개수 차이는 팀 규모·업무 성격 차이로 대부분 설명되어 기준선을 세울 수 없다. 2차가 할 행동이 들여다보기로 끝나 상위 전달 3조건 중 ③(상위 주체가 실제로 할 수 있는 일)을 충족하지 못해 제외. 난이도 쏠림(목표수립-상위조직장-03)으로 대체</t>
        </is>
      </c>
      <c r="F94" s="8" t="n"/>
      <c r="G94" s="8" t="n"/>
      <c r="H94" s="9" t="n"/>
    </row>
    <row r="95" ht="30" customHeight="1">
      <c r="B95" s="3" t="n">
        <v>15</v>
      </c>
      <c r="C95" s="3" t="inlineStr">
        <is>
          <t>목표수립-상위조직장-05</t>
        </is>
      </c>
      <c r="D95" s="3" t="inlineStr">
        <is>
          <t>목표수립 · 상위 조직장(2차 평가자)</t>
        </is>
      </c>
      <c r="E95" s="3" t="inlineStr">
        <is>
          <t>상위목표 연결 95% 실측 — 나머지 5%가 확인 대상. 알림 조절: 목표 1건의 연결 누락은 소유자와 1차가 먼저 볼 기회를 가진 뒤 3건 이상 모일 때만 2차 카드를 만든다</t>
        </is>
      </c>
      <c r="F95" s="8" t="n"/>
      <c r="G95" s="8" t="n"/>
      <c r="H95" s="9" t="n"/>
    </row>
    <row r="96" ht="30" customHeight="1">
      <c r="B96" s="3" t="n">
        <v>16</v>
      </c>
      <c r="C96" s="3" t="inlineStr">
        <is>
          <t>목표수립-상위조직장-06</t>
        </is>
      </c>
      <c r="D96" s="3" t="inlineStr">
        <is>
          <t>목표수립 · 상위 조직장(2차 평가자)</t>
        </is>
      </c>
      <c r="E96" s="3" t="inlineStr">
        <is>
          <t>발령·직무이동 이력 채움률 0.5%(221명 중 1명) — 휴넬/JaDE 발령 원천 연동 확인 필요, T5 신호 전체의 전제. 조직 변경 이력 테이블 존재 여부 확인 필요. 알림 조절: 같은 사건으로 1차에게는 팀원별 목표 재정렬 알림이 뜨고, 2차에는 팀 단위 사건으로만 올린다</t>
        </is>
      </c>
      <c r="F96" s="8" t="n"/>
      <c r="G96" s="8" t="n"/>
      <c r="H96" s="9" t="n"/>
    </row>
    <row r="97" ht="30" customHeight="1">
      <c r="B97" s="3" t="n">
        <v>17</v>
      </c>
      <c r="C97" s="3" t="inlineStr">
        <is>
          <t>목표수립-HR경영진-01</t>
        </is>
      </c>
      <c r="D97" s="3" t="inlineStr">
        <is>
          <t>목표수립 · HR·경영진</t>
        </is>
      </c>
      <c r="E97" s="3" t="inlineStr">
        <is>
          <t>목표·평가 기간 일정 마스터(개시일·마감일·리마인드 기준일)가 없어 신설 필요 — 이 카드의 전제. 알림 발송·열람·처리 기록도 서버 보존 신설 필요. 팀장(1차 평가자)에게 팀원 목표 미수립 카드가 먼저 떴다는 전제 아래 생성한다</t>
        </is>
      </c>
      <c r="F97" s="8" t="n"/>
      <c r="G97" s="8" t="n"/>
      <c r="H97" s="9" t="n"/>
    </row>
    <row r="98" ht="30" customHeight="1">
      <c r="B98" s="3" t="n">
        <v>18</v>
      </c>
      <c r="C98" s="3" t="inlineStr">
        <is>
          <t>목표수립-HR경영진-02</t>
        </is>
      </c>
      <c r="D98" s="3" t="inlineStr">
        <is>
          <t>목표수립 · HR·경영진</t>
        </is>
      </c>
      <c r="E98" s="3" t="inlineStr">
        <is>
          <t>목표·핵심결과·평가 어디에도 레코드 최종 수정 일시(updated_at)가 없어 '며칠째 그대로'를 확인할 수 없다 — 확인 1순위 항목. 미수립 자체는 T1(기한 도래) 카드(목표수립-HR경영진-01)가 이미 담당하므로 중복이다. updated_at이 생기면 재검토</t>
        </is>
      </c>
      <c r="F98" s="8" t="n"/>
      <c r="G98" s="8" t="n"/>
      <c r="H98" s="9" t="n"/>
    </row>
    <row r="99" ht="30" customHeight="1">
      <c r="B99" s="3" t="n">
        <v>19</v>
      </c>
      <c r="C99" s="3" t="inlineStr">
        <is>
          <t>목표수립-HR경영진-03</t>
        </is>
      </c>
      <c r="D99" s="3" t="inlineStr">
        <is>
          <t>목표수립 · HR·경영진</t>
        </is>
      </c>
      <c r="E99" s="3" t="inlineStr">
        <is>
          <t>제도로 정한 난이도 분포 기준값이 아직 없어 확인·신설 필요. 난이도 등급(A~C)과 난이도 근거는 핵심결과 146건에 98.6% 채워져 있어 판단 자체는 가능. 경영진용 카드(목표수립-HR경영진-06)와 같은 원인이며 행동만 다르다</t>
        </is>
      </c>
      <c r="F99" s="8" t="n"/>
      <c r="G99" s="8" t="n"/>
      <c r="H99" s="9" t="n"/>
    </row>
    <row r="100" ht="30" customHeight="1">
      <c r="B100" s="3" t="n">
        <v>20</v>
      </c>
      <c r="C100" s="3" t="inlineStr">
        <is>
          <t>목표수립-HR경영진-04</t>
        </is>
      </c>
      <c r="D100" s="3" t="inlineStr">
        <is>
          <t>목표수립 · HR·경영진</t>
        </is>
      </c>
      <c r="E100" s="3" t="inlineStr">
        <is>
          <t>조회 전용이므로 남는 기록이 없다. 같은 원인의 실제 조치는 HR용 카드(목표수립-HR경영진-05)의 난이도 재검토 요청으로 남으므로, 이 카드는 05와 묶어 생성하고 단독으로는 만들지 않는다</t>
        </is>
      </c>
      <c r="F100" s="8" t="n"/>
      <c r="G100" s="8" t="n"/>
      <c r="H100" s="9" t="n"/>
    </row>
    <row r="101" ht="30" customHeight="1">
      <c r="B101" s="3" t="n">
        <v>21</v>
      </c>
      <c r="C101" s="3" t="inlineStr">
        <is>
          <t>목표수립-HR경영진-05</t>
        </is>
      </c>
      <c r="D101" s="3" t="inlineStr">
        <is>
          <t>목표수립 · HR·경영진</t>
        </is>
      </c>
      <c r="E101" s="3" t="inlineStr">
        <is>
          <t>같은 원인으로 경영진용 카드(목표수립-HR경영진-03)가 함께 생성된다 — HR은 기준 안내·보완 독려, 경영진은 조직 목표 재정렬 요청으로 K·L·M만 갈린다. 팀장(1차 평가자)이 팀원 목표 정렬 카드를 먼저 받는다는 전제. 상위목표 연결은 목표 40건 중 95% 채워져 확인 가능</t>
        </is>
      </c>
      <c r="F101" s="8" t="n"/>
      <c r="G101" s="8" t="n"/>
      <c r="H101" s="9" t="n"/>
    </row>
    <row r="102" ht="30" customHeight="1">
      <c r="B102" s="3" t="n">
        <v>22</v>
      </c>
      <c r="C102" s="3" t="inlineStr">
        <is>
          <t>목표수립-HR경영진-06</t>
        </is>
      </c>
      <c r="D102" s="3" t="inlineStr">
        <is>
          <t>목표수립 · HR·경영진</t>
        </is>
      </c>
      <c r="E102" s="3" t="inlineStr">
        <is>
          <t>HR용 카드(목표수립-HR경영진-02)와 같은 원인·같은 근거를 쓰고 행동만 다르다(HR=기준 안내, 경영진=조직 재정렬 요청). 두 카드가 함께 뜨므로 한쪽이 해소되면 다른 쪽 문구를 갱신한다. 전략과제 연결은 목표 100%·과제별 KPI가 있어 확인 가능</t>
        </is>
      </c>
      <c r="F102" s="8" t="n"/>
      <c r="G102" s="8" t="n"/>
      <c r="H102" s="9" t="n"/>
    </row>
    <row r="103" ht="30" customHeight="1">
      <c r="B103" s="3" t="n">
        <v>23</v>
      </c>
      <c r="C103" s="3" t="inlineStr">
        <is>
          <t>목표수립-HR경영진-07</t>
        </is>
      </c>
      <c r="D103" s="3" t="inlineStr">
        <is>
          <t>목표수립 · HR·경영진</t>
        </is>
      </c>
      <c r="E103" s="3" t="inlineStr">
        <is>
          <t>발령·직무이동 이력 채움률이 221명 중 1명(0.5%)이라 휴넬·JaDE 발령 원천 연동 확인 필요 — 이 신호의 전제. 조직 개편 이력 테이블도 확인 필요. 중간점검 단계의 같은 원인은 이 카드로 흡수한다</t>
        </is>
      </c>
      <c r="F103" s="8" t="n"/>
      <c r="G103" s="8" t="n"/>
      <c r="H103" s="9" t="n"/>
    </row>
    <row r="104" ht="15" customHeight="1">
      <c r="B104" s="3" t="n">
        <v>24</v>
      </c>
      <c r="C104" s="3" t="inlineStr">
        <is>
          <t>중간점검-구성원-01</t>
        </is>
      </c>
      <c r="D104" s="3" t="inlineStr">
        <is>
          <t>중간점검 · 구성원</t>
        </is>
      </c>
      <c r="E104" s="3" t="inlineStr">
        <is>
          <t>점검 360건의 작성일은 실측 확인. 다만 목표 소유자와 점검 작성자 일치율이 5.6%여서 '내 목표'의 소유권 정의 확인 필요</t>
        </is>
      </c>
      <c r="F104" s="8" t="n"/>
      <c r="G104" s="8" t="n"/>
      <c r="H104" s="9" t="n"/>
    </row>
    <row r="105" ht="30" customHeight="1">
      <c r="B105" s="3" t="n">
        <v>25</v>
      </c>
      <c r="C105" s="3" t="inlineStr">
        <is>
          <t>중간점검-구성원-02</t>
        </is>
      </c>
      <c r="D105" s="3" t="inlineStr">
        <is>
          <t>중간점검 · 구성원</t>
        </is>
      </c>
      <c r="E105" s="3" t="inlineStr">
        <is>
          <t>목표·핵심결과 진척률과 장애요인(70%)·확신도는 실측 확인. 기간 경과율 계산에 목표 기간의 시작·종료 날짜가 필요하나 현재는 기간 문자열뿐 — 일정 마스터 확인 필요</t>
        </is>
      </c>
      <c r="F105" s="8" t="n"/>
      <c r="G105" s="8" t="n"/>
      <c r="H105" s="9" t="n"/>
    </row>
    <row r="106" ht="30" customHeight="1">
      <c r="B106" s="3" t="n">
        <v>26</v>
      </c>
      <c r="C106" s="3" t="inlineStr">
        <is>
          <t>중간점검-구성원-03</t>
        </is>
      </c>
      <c r="D106" s="3" t="inlineStr">
        <is>
          <t>중간점검 · 구성원</t>
        </is>
      </c>
      <c r="E106" s="3" t="inlineStr">
        <is>
          <t>점검의 진척 증감은 실측 확인(360건). 핵심결과 현재값의 변경 이력이 없어 '32일째 동일'을 확인할 수 없음 — 값 변경 이력 신설 확인 필요. T2(작성 공백)와 원인이 겹쳐 보이므로, 점검이 계속 써지고 있을 때만 이 카드를 만들고 그 외는 T2로 처리</t>
        </is>
      </c>
      <c r="F106" s="8" t="n"/>
      <c r="G106" s="8" t="n"/>
      <c r="H106" s="9" t="n"/>
    </row>
    <row r="107" ht="30" customHeight="1">
      <c r="B107" s="3" t="n">
        <v>27</v>
      </c>
      <c r="C107" s="3" t="inlineStr">
        <is>
          <t>중간점검-구성원-04</t>
        </is>
      </c>
      <c r="D107" s="3" t="inlineStr">
        <is>
          <t>중간점검 · 구성원</t>
        </is>
      </c>
      <c r="E107" s="3" t="inlineStr">
        <is>
          <t>상위 목표 연결은 실측 95%. 목표의 변경 이력·최종 수정 일시가 없어 신설 필요(확인 1순위). 같은 원인으로 팀장(1차 평가자)에게도 알림이 가능하므로 구성원 먼저, 3일 안에 반영되지 않을 때만 조직장에게 올리도록 순서 지정 필요</t>
        </is>
      </c>
      <c r="F107" s="8" t="n"/>
      <c r="G107" s="8" t="n"/>
      <c r="H107" s="9" t="n"/>
    </row>
    <row r="108" ht="30" customHeight="1">
      <c r="B108" s="3" t="n">
        <v>28</v>
      </c>
      <c r="C108" s="3" t="inlineStr">
        <is>
          <t>중간점검-구성원-05</t>
        </is>
      </c>
      <c r="D108" s="3" t="inlineStr">
        <is>
          <t>중간점검 · 구성원</t>
        </is>
      </c>
      <c r="E108" s="3" t="inlineStr">
        <is>
          <t>살펴본 기록으로만 남김. '같은 목표에 함께 걸린 동료'를 확인할 목표-참여자 관계가 사실상 없어 제외(신호 3조건 중 ③ 규칙으로 확인 불가). 목표에 공동 담당자 필드가 생기면 다시 검토</t>
        </is>
      </c>
      <c r="F108" s="8" t="n"/>
      <c r="G108" s="8" t="n"/>
      <c r="H108" s="9" t="n"/>
    </row>
    <row r="109" ht="15" customHeight="1">
      <c r="B109" s="3" t="n">
        <v>29</v>
      </c>
      <c r="C109" s="3" t="inlineStr">
        <is>
          <t>중간점검-팀장-01</t>
        </is>
      </c>
      <c r="D109" s="3" t="inlineStr">
        <is>
          <t>중간점검 · 팀장(1차 평가자)</t>
        </is>
      </c>
      <c r="E109" s="3" t="inlineStr">
        <is>
          <t>점검 회차와 마감일을 담는 일정 마스터가 없음 — 신설 확인 필요. 구성원에게 같은 원인 카드가 먼저 뜨므로 1차 카드는 마감 3일 전부터만 만든다</t>
        </is>
      </c>
      <c r="F109" s="8" t="n"/>
      <c r="G109" s="8" t="n"/>
      <c r="H109" s="9" t="n"/>
    </row>
    <row r="110" ht="15" customHeight="1">
      <c r="B110" s="3" t="n">
        <v>30</v>
      </c>
      <c r="C110" s="3" t="inlineStr">
        <is>
          <t>중간점검-팀장-02</t>
        </is>
      </c>
      <c r="D110" s="3" t="inlineStr">
        <is>
          <t>중간점검 · 팀장(1차 평가자)</t>
        </is>
      </c>
      <c r="E110" s="3" t="inlineStr">
        <is>
          <t>점검 작성일은 실측 확인됨(360건). 마감 임박 카드(중간점검-팀장-01)가 떠 있는 동안에는 이 카드를 만들지 않는다</t>
        </is>
      </c>
      <c r="F110" s="8" t="n"/>
      <c r="G110" s="8" t="n"/>
      <c r="H110" s="9" t="n"/>
    </row>
    <row r="111" ht="15" customHeight="1">
      <c r="B111" s="3" t="n">
        <v>31</v>
      </c>
      <c r="C111" s="3" t="inlineStr">
        <is>
          <t>중간점검-팀장-03</t>
        </is>
      </c>
      <c r="D111" s="3" t="inlineStr">
        <is>
          <t>중간점검 · 팀장(1차 평가자)</t>
        </is>
      </c>
      <c r="E111" s="3" t="inlineStr">
        <is>
          <t>확신도(high/medium/low)와 진척 증감은 실측 확인됨(점검 360건). 1on1 기록이 브라우저 80건 롤링뿐이어서 서버 보존 신설 필요</t>
        </is>
      </c>
      <c r="F111" s="8" t="n"/>
      <c r="G111" s="8" t="n"/>
      <c r="H111" s="9" t="n"/>
    </row>
    <row r="112" ht="15" customHeight="1">
      <c r="B112" s="3" t="n">
        <v>32</v>
      </c>
      <c r="C112" s="3" t="inlineStr">
        <is>
          <t>중간점검-팀장-04</t>
        </is>
      </c>
      <c r="D112" s="3" t="inlineStr">
        <is>
          <t>중간점검 · 팀장(1차 평가자)</t>
        </is>
      </c>
      <c r="E112" s="3" t="inlineStr">
        <is>
          <t>좋아요 수는 실측 있으나 줄었다고 해서 조직장이 무엇을 해야 하는지 정해지지 않아 제외(신호 3조건 중 '특정한 사람이 무언가를 해야 한다'가 빠짐)</t>
        </is>
      </c>
      <c r="F112" s="8" t="n"/>
      <c r="G112" s="8" t="n"/>
      <c r="H112" s="9" t="n"/>
    </row>
    <row r="113" ht="30" customHeight="1">
      <c r="B113" s="3" t="n">
        <v>33</v>
      </c>
      <c r="C113" s="3" t="inlineStr">
        <is>
          <t>중간점검-팀장-05</t>
        </is>
      </c>
      <c r="D113" s="3" t="inlineStr">
        <is>
          <t>중간점검 · 팀장(1차 평가자)</t>
        </is>
      </c>
      <c r="E113" s="3" t="inlineStr">
        <is>
          <t>장애요인 채움률 70% 실측. 같은 팀원에게 1on1 카드(중간점검-팀장-03)가 이미 있으면 새 카드를 만들지 않고 그 카드의 이야기할 항목에만 더한다. 1on1 기록 서버 보존 신설 필요</t>
        </is>
      </c>
      <c r="F113" s="8" t="n"/>
      <c r="G113" s="8" t="n"/>
      <c r="H113" s="9" t="n"/>
    </row>
    <row r="114" ht="15" customHeight="1">
      <c r="B114" s="3" t="n">
        <v>34</v>
      </c>
      <c r="C114" s="3" t="inlineStr">
        <is>
          <t>중간점검-상위조직장-01</t>
        </is>
      </c>
      <c r="D114" s="3" t="inlineStr">
        <is>
          <t>중간점검 · 상위 조직장(2차 평가자)</t>
        </is>
      </c>
      <c r="E114" s="3" t="inlineStr">
        <is>
          <t>중간점검 기간의 마감일을 담는 일정 마스터가 없음 — 신설 필요. 알림 조절: 팀원 개인 점검 독려는 1차가 먼저 하고, 2차에는 팀 합계만 올린다</t>
        </is>
      </c>
      <c r="F114" s="8" t="n"/>
      <c r="G114" s="8" t="n"/>
      <c r="H114" s="9" t="n"/>
    </row>
    <row r="115" ht="30" customHeight="1">
      <c r="B115" s="3" t="n">
        <v>35</v>
      </c>
      <c r="C115" s="3" t="inlineStr">
        <is>
          <t>중간점검-상위조직장-02</t>
        </is>
      </c>
      <c r="D115" s="3" t="inlineStr">
        <is>
          <t>중간점검 · 상위 조직장(2차 평가자)</t>
        </is>
      </c>
      <c r="E115" s="3" t="inlineStr">
        <is>
          <t>점검 작성일은 실측 존재(360건)로 확인 가능. 1on1·회의 기록이 브라우저 80건 롤링이라 서버 보존 신설 필요. 알림 조절: 같은 원인으로 1차에게 팀원별 점검 공백 알림이 먼저 뜬 뒤에만 2차 팀 합계 카드를 만든다</t>
        </is>
      </c>
      <c r="F115" s="8" t="n"/>
      <c r="G115" s="8" t="n"/>
      <c r="H115" s="9" t="n"/>
    </row>
    <row r="116" ht="30" customHeight="1">
      <c r="B116" s="3" t="n">
        <v>36</v>
      </c>
      <c r="C116" s="3" t="inlineStr">
        <is>
          <t>중간점검-상위조직장-03</t>
        </is>
      </c>
      <c r="D116" s="3" t="inlineStr">
        <is>
          <t>중간점검 · 상위 조직장(2차 평가자)</t>
        </is>
      </c>
      <c r="E116" s="3" t="inlineStr">
        <is>
          <t>진척률·가중치는 실측 존재. 기간 경과 대비 기대 진척을 계산할 기간 일정 마스터가 없음 — 신설 필요. 알림 조절: 팀원 개인의 진척 저조는 1차에게만 뜨고, 2차에는 팀 평균 비교로만 올린다</t>
        </is>
      </c>
      <c r="F116" s="8" t="n"/>
      <c r="G116" s="8" t="n"/>
      <c r="H116" s="9" t="n"/>
    </row>
    <row r="117" ht="30" customHeight="1">
      <c r="B117" s="3" t="n">
        <v>37</v>
      </c>
      <c r="C117" s="3" t="inlineStr">
        <is>
          <t>중간점검-상위조직장-04</t>
        </is>
      </c>
      <c r="D117" s="3" t="inlineStr">
        <is>
          <t>중간점검 · 상위 조직장(2차 평가자)</t>
        </is>
      </c>
      <c r="E117" s="3" t="inlineStr">
        <is>
          <t>진척 증감·전략과제 KPI는 실측 존재(전략과제 연결 100%). 하위 목표 진척이 상위 목표 진척에 반영되는 계산 규칙 확인 필요. 알림 조절: 이 카드는 2차 전용 — 상위 목표 소유자가 2차이므로 1차·구성원에는 만들지 않는다</t>
        </is>
      </c>
      <c r="F117" s="8" t="n"/>
      <c r="G117" s="8" t="n"/>
      <c r="H117" s="9" t="n"/>
    </row>
    <row r="118" ht="30" customHeight="1">
      <c r="B118" s="3" t="n">
        <v>38</v>
      </c>
      <c r="C118" s="3" t="inlineStr">
        <is>
          <t>중간점검-상위조직장-05</t>
        </is>
      </c>
      <c r="D118" s="3" t="inlineStr">
        <is>
          <t>중간점검 · 상위 조직장(2차 평가자)</t>
        </is>
      </c>
      <c r="E118" s="3" t="inlineStr">
        <is>
          <t>장애요인 필드 채움률 70% 실측. 다만 자유서술이라 같은 항목으로 묶는 기준이 없음 — 장애요인 항목 코드 목록 신설 필요(규칙 판단의 전제). 알림 조절: 장애요인 1건은 1차가 먼저 처리하고, 여러 팀에 걸쳐 반복될 때만 2차로 올린다</t>
        </is>
      </c>
      <c r="F118" s="8" t="n"/>
      <c r="G118" s="8" t="n"/>
      <c r="H118" s="9" t="n"/>
    </row>
    <row r="119" ht="30" customHeight="1">
      <c r="B119" s="3" t="n">
        <v>39</v>
      </c>
      <c r="C119" s="3" t="inlineStr">
        <is>
          <t>중간점검-HR경영진-01</t>
        </is>
      </c>
      <c r="D119" s="3" t="inlineStr">
        <is>
          <t>중간점검 · HR·경영진</t>
        </is>
      </c>
      <c r="E119" s="3" t="inlineStr">
        <is>
          <t>중간점검 기간의 개시일·마감일을 담은 일정 마스터가 없어 신설 필요. 점검 360건에 작성일이 있어 참여율 집계는 가능. 팀장(1차 평가자)의 팀원별 점검 독려 카드가 먼저 떴다는 전제 아래 생성한다</t>
        </is>
      </c>
      <c r="F119" s="8" t="n"/>
      <c r="G119" s="8" t="n"/>
      <c r="H119" s="9" t="n"/>
    </row>
    <row r="120" ht="30" customHeight="1">
      <c r="B120" s="3" t="n">
        <v>40</v>
      </c>
      <c r="C120" s="3" t="inlineStr">
        <is>
          <t>중간점검-HR경영진-02</t>
        </is>
      </c>
      <c r="D120" s="3" t="inlineStr">
        <is>
          <t>중간점검 · HR·경영진</t>
        </is>
      </c>
      <c r="E120" s="3" t="inlineStr">
        <is>
          <t>같은 원인으로 경영진용 카드(중간점검-HR경영진-03)가 함께 뜬다 — HR=점검·계획 보완 안내, 경영진=인력·자원 재배분 검토 요청. 팀장(1차 평가자)이 팀원별 진척 카드를 먼저 받는다는 전제. 점검 360건 중 70%에 장애요인이 있어 초안 근거로 쓸 수 있다</t>
        </is>
      </c>
      <c r="F120" s="8" t="n"/>
      <c r="G120" s="8" t="n"/>
      <c r="H120" s="9" t="n"/>
    </row>
    <row r="121" ht="30" customHeight="1">
      <c r="B121" s="3" t="n">
        <v>41</v>
      </c>
      <c r="C121" s="3" t="inlineStr">
        <is>
          <t>중간점검-HR경영진-03</t>
        </is>
      </c>
      <c r="D121" s="3" t="inlineStr">
        <is>
          <t>중간점검 · HR·경영진</t>
        </is>
      </c>
      <c r="E121" s="3" t="inlineStr">
        <is>
          <t>HR용 카드(중간점검-HR경영진-02)와 같은 원인을 쓰고 행동만 다르다. 두 카드가 함께 뜨므로 한쪽이 해소되면 다른 쪽 문구를 갱신한다. 점검의 진척 증감·확신도·장애요인은 실제 있으나 장애요인 유형 분류 체계는 확인 필요</t>
        </is>
      </c>
      <c r="F121" s="8" t="n"/>
      <c r="G121" s="8" t="n"/>
      <c r="H121" s="9" t="n"/>
    </row>
    <row r="122" ht="30" customHeight="1">
      <c r="B122" s="3" t="n">
        <v>42</v>
      </c>
      <c r="C122" s="3" t="inlineStr">
        <is>
          <t>중간점검-HR경영진-04</t>
        </is>
      </c>
      <c r="D122" s="3" t="inlineStr">
        <is>
          <t>중간점검 · HR·경영진</t>
        </is>
      </c>
      <c r="E122" s="3" t="inlineStr">
        <is>
          <t>목표 40건 중 개인 목표가 1건뿐이고 목표 소유자와 점검 작성자 일치율이 5.6%여서 조직목표-하위목표 진척 비교의 모수 정의 확인 필요. 상위목표 연결 95%·핵심결과의 직무 과업 참조 100%라 연결 판단 자체는 가능</t>
        </is>
      </c>
      <c r="F122" s="8" t="n"/>
      <c r="G122" s="8" t="n"/>
      <c r="H122" s="9" t="n"/>
    </row>
    <row r="123" ht="15" customHeight="1">
      <c r="B123" s="3" t="n">
        <v>43</v>
      </c>
      <c r="C123" s="3" t="inlineStr">
        <is>
          <t>평가-구성원-01</t>
        </is>
      </c>
      <c r="D123" s="3" t="inlineStr">
        <is>
          <t>평가 · 구성원</t>
        </is>
      </c>
      <c r="E123" s="3" t="inlineStr">
        <is>
          <t>자기평가가 현재 임시 저장(탭 종료 시 소멸)뿐이라 제출 기록 저장 위치 신설이 전제. 평가 기간 일정 마스터도 없어 마감일 원천 확인 필요</t>
        </is>
      </c>
      <c r="F123" s="8" t="n"/>
      <c r="G123" s="8" t="n"/>
      <c r="H123" s="9" t="n"/>
    </row>
    <row r="124" ht="30" customHeight="1">
      <c r="B124" s="3" t="n">
        <v>44</v>
      </c>
      <c r="C124" s="3" t="inlineStr">
        <is>
          <t>평가-구성원-02</t>
        </is>
      </c>
      <c r="D124" s="3" t="inlineStr">
        <is>
          <t>평가 · 구성원</t>
        </is>
      </c>
      <c r="E124" s="3" t="inlineStr">
        <is>
          <t>점검 건수·작성자·작성일은 실측 확인(360건). 평가 기간의 시작·종료 날짜는 일정 마스터 확인 필요. 중간점검 단계의 T2와 원인이 겹치므로 평가 기간 개시 이후에만 이 신호를 쓰고 그 전에는 중간점검 쪽으로 넘김</t>
        </is>
      </c>
      <c r="F124" s="8" t="n"/>
      <c r="G124" s="8" t="n"/>
      <c r="H124" s="9" t="n"/>
    </row>
    <row r="125" ht="30" customHeight="1">
      <c r="B125" s="3" t="n">
        <v>45</v>
      </c>
      <c r="C125" s="3" t="inlineStr">
        <is>
          <t>평가-구성원-03</t>
        </is>
      </c>
      <c r="D125" s="3" t="inlineStr">
        <is>
          <t>평가 · 구성원</t>
        </is>
      </c>
      <c r="E125" s="3" t="inlineStr">
        <is>
          <t>살펴본 기록으로만 남김. 확정 전 점수와 타인 평균 노출은 제도상 불가하고, 점수를 두고 본인이 할 수 있는 행동이 없어 제외(신호 3조건 중 ② 불충족). 등급 확정 후 결과 안내는 알림이 아니라 화면 조회로 처리. 등급 분포 이탈은 HR·경영진 칸에서 다룸</t>
        </is>
      </c>
      <c r="F125" s="8" t="n"/>
      <c r="G125" s="8" t="n"/>
      <c r="H125" s="9" t="n"/>
    </row>
    <row r="126" ht="30" customHeight="1">
      <c r="B126" s="3" t="n">
        <v>46</v>
      </c>
      <c r="C126" s="3" t="inlineStr">
        <is>
          <t>평가-구성원-04</t>
        </is>
      </c>
      <c r="D126" s="3" t="inlineStr">
        <is>
          <t>평가 · 구성원</t>
        </is>
      </c>
      <c r="E126" s="3" t="inlineStr">
        <is>
          <t>핵심결과 진척·가중치·난이도 근거(98.6%)는 실측 확인. 자기평가 제출 저장이 임시 저장뿐이라 비교할 원천이 없음 — 자기평가 저장 위치 신설이 전제. 같은 불일치를 팀장(1차 평가자)도 볼 수 있으므로 본인이 먼저 고칠 기회를 갖도록 1차 알림은 자기평가 제출 확정 이후로 미룸</t>
        </is>
      </c>
      <c r="F126" s="8" t="n"/>
      <c r="G126" s="8" t="n"/>
      <c r="H126" s="9" t="n"/>
    </row>
    <row r="127" ht="30" customHeight="1">
      <c r="B127" s="3" t="n">
        <v>47</v>
      </c>
      <c r="C127" s="3" t="inlineStr">
        <is>
          <t>평가-구성원-05</t>
        </is>
      </c>
      <c r="D127" s="3" t="inlineStr">
        <is>
          <t>평가 · 구성원</t>
        </is>
      </c>
      <c r="E127" s="3" t="inlineStr">
        <is>
          <t>상위자 사번은 99.5% 실측이나, 평가 레코드에 1차·2차 평가자 매핑과 제출 시각이 없어 '평가자 변경' 확인 불가 — 평가자 매핑 신설이 전제. 발령 이력 채움률 0.5%도 함께 확인 필요. 팀장(1차 평가자)에게도 '기간 중 합류한 팀원' 알림이 필요하므로 짝으로 설계</t>
        </is>
      </c>
      <c r="F127" s="8" t="n"/>
      <c r="G127" s="8" t="n"/>
      <c r="H127" s="9" t="n"/>
    </row>
    <row r="128" ht="30" customHeight="1">
      <c r="B128" s="3" t="n">
        <v>48</v>
      </c>
      <c r="C128" s="3" t="inlineStr">
        <is>
          <t>평가-팀장-01</t>
        </is>
      </c>
      <c r="D128" s="3" t="inlineStr">
        <is>
          <t>평가 · 팀장(1차 평가자)</t>
        </is>
      </c>
      <c r="E128" s="3" t="inlineStr">
        <is>
          <t>평가자 매핑(1차·2차)과 제출 시각·제출 상태가 평가 레코드에 없음 — 이 신호와 상위 조직장(2차 평가자) 신호 전체의 전제이므로 신설 확인 필요. 평가 기간 일정 마스터도 없음</t>
        </is>
      </c>
      <c r="F128" s="8" t="n"/>
      <c r="G128" s="8" t="n"/>
      <c r="H128" s="9" t="n"/>
    </row>
    <row r="129" ht="15" customHeight="1">
      <c r="B129" s="3" t="n">
        <v>49</v>
      </c>
      <c r="C129" s="3" t="inlineStr">
        <is>
          <t>평가-팀장-02</t>
        </is>
      </c>
      <c r="D129" s="3" t="inlineStr">
        <is>
          <t>평가 · 팀장(1차 평가자)</t>
        </is>
      </c>
      <c r="E129" s="3" t="inlineStr">
        <is>
          <t>점검 건수는 실측 확인됨. 동료 리뷰는 13명 한정이어서 0건이 흔하므로 판단은 점검 건수만으로 할지 확인 필요</t>
        </is>
      </c>
      <c r="F129" s="8" t="n"/>
      <c r="G129" s="8" t="n"/>
      <c r="H129" s="9" t="n"/>
    </row>
    <row r="130" ht="30" customHeight="1">
      <c r="B130" s="3" t="n">
        <v>50</v>
      </c>
      <c r="C130" s="3" t="inlineStr">
        <is>
          <t>평가-팀장-03</t>
        </is>
      </c>
      <c r="D130" s="3" t="inlineStr">
        <is>
          <t>평가 · 팀장(1차 평가자)</t>
        </is>
      </c>
      <c r="E130" s="3" t="inlineStr">
        <is>
          <t>등급·종합점수·근거 요약문·가중치·난이도는 실측 확인됨. 근거 요약문에 이유가 적혀 있는지를 규칙만으로 가리기 어려워 '적혀 있지 않음'을 무엇으로 볼지 확인 필요(난이도 근거 인용 여부 등). 평가 수정 이력 저장 위치 없음. 같은 원인의 상위 조직장(2차 평가자) 카드보다 7일 먼저 1차에 알린다</t>
        </is>
      </c>
      <c r="F130" s="8" t="n"/>
      <c r="G130" s="8" t="n"/>
      <c r="H130" s="9" t="n"/>
    </row>
    <row r="131" ht="30" customHeight="1">
      <c r="B131" s="3" t="n">
        <v>51</v>
      </c>
      <c r="C131" s="3" t="inlineStr">
        <is>
          <t>평가-팀장-04</t>
        </is>
      </c>
      <c r="D131" s="3" t="inlineStr">
        <is>
          <t>평가 · 팀장(1차 평가자)</t>
        </is>
      </c>
      <c r="E131" s="3" t="inlineStr">
        <is>
          <t>발령·직무이동 이력 채움률 0.5% — 휴넬·JaDE 발령 원천 연동이 전제. 이전 조직의 조직장 사번은 조직 38개 데이터에 있어 특정 가능. 받은 근거를 평가에 붙여 두는 저장 위치가 없음</t>
        </is>
      </c>
      <c r="F131" s="8" t="n"/>
      <c r="G131" s="8" t="n"/>
      <c r="H131" s="9" t="n"/>
    </row>
    <row r="132" ht="30" customHeight="1">
      <c r="B132" s="3" t="n">
        <v>52</v>
      </c>
      <c r="C132" s="3" t="inlineStr">
        <is>
          <t>평가-상위조직장-01</t>
        </is>
      </c>
      <c r="D132" s="3" t="inlineStr">
        <is>
          <t>평가 · 상위 조직장(2차 평가자)</t>
        </is>
      </c>
      <c r="E132" s="3" t="inlineStr">
        <is>
          <t>평가자 매핑(1차·2차)과 제출 상태·제출 시각이 평가 레코드에 없음 — 상위 조직장(2차 평가자) 신호 전체의 전제, 신설 필요. 평가 기간 일정 마스터도 없음 — 신설 필요. 알림 조절: 팀원별 미제출 독려는 1차가 하고, 2차에는 평가자·팀 단위 제출률로만 올린다</t>
        </is>
      </c>
      <c r="F132" s="8" t="n"/>
      <c r="G132" s="8" t="n"/>
      <c r="H132" s="9" t="n"/>
    </row>
    <row r="133" ht="30" customHeight="1">
      <c r="B133" s="3" t="n">
        <v>53</v>
      </c>
      <c r="C133" s="3" t="inlineStr">
        <is>
          <t>평가-상위조직장-02</t>
        </is>
      </c>
      <c r="D133" s="3" t="inlineStr">
        <is>
          <t>평가 · 상위 조직장(2차 평가자)</t>
        </is>
      </c>
      <c r="E133" s="3" t="inlineStr">
        <is>
          <t>평가 근거 요약문은 실측 존재(221건). 다만 평가자 매핑이 없어 '누가 쓴 근거'인지 현재 확인 불가 — 신설 필요. 관측 대상은 팀원이 아니라 1차 평가자의 작성 충실도. 알림 조절: 평가 1건의 근거 부족은 1차에게 먼저 뜨고, 2차에는 평가자 단위로 묶어서만 올린다</t>
        </is>
      </c>
      <c r="F133" s="8" t="n"/>
      <c r="G133" s="8" t="n"/>
      <c r="H133" s="9" t="n"/>
    </row>
    <row r="134" ht="45" customHeight="1">
      <c r="B134" s="3" t="n">
        <v>54</v>
      </c>
      <c r="C134" s="3" t="inlineStr">
        <is>
          <t>평가-상위조직장-03</t>
        </is>
      </c>
      <c r="D134" s="3" t="inlineStr">
        <is>
          <t>평가 · 상위 조직장(2차 평가자)</t>
        </is>
      </c>
      <c r="E134" s="3" t="inlineStr">
        <is>
          <t>등급(S/A/B/C)과 과거 평가 이력(204명, FY2024~2025)은 실측 존재. 평가자 매핑이 없어 '평가자별' 집계가 현재 불가 — 신설 필요. 등급 조정 이력·조정 회의 기록이 브라우저 임시 저장뿐 — 서버 보존 신설 필요. 관대화(상위 쏠림)와 중앙집중(중간 쏠림)을 한 규칙의 두 방향으로 둔다. 알림 조절: 팀원 개인의 등급 자체는 2차에 개별로 올리지 않는다</t>
        </is>
      </c>
      <c r="F134" s="8" t="n"/>
      <c r="G134" s="8" t="n"/>
      <c r="H134" s="9" t="n"/>
    </row>
    <row r="135" ht="30" customHeight="1">
      <c r="B135" s="3" t="n">
        <v>55</v>
      </c>
      <c r="C135" s="3" t="inlineStr">
        <is>
          <t>평가-상위조직장-04</t>
        </is>
      </c>
      <c r="D135" s="3" t="inlineStr">
        <is>
          <t>평가 · 상위 조직장(2차 평가자)</t>
        </is>
      </c>
      <c r="E135" s="3" t="inlineStr">
        <is>
          <t>3요소 점수·등급·진척은 실측 존재(평가 221건). 평가자 매핑이 없어 평가자 단위로 묶을 수 없음 — 신설 필요. 알림 조절: 개별 1건은 1차가 먼저 볼 기회를 가진 뒤 3건 이상 모일 때만 2차 카드를 만든다</t>
        </is>
      </c>
      <c r="F135" s="8" t="n"/>
      <c r="G135" s="8" t="n"/>
      <c r="H135" s="9" t="n"/>
    </row>
    <row r="136" ht="30" customHeight="1">
      <c r="B136" s="3" t="n">
        <v>56</v>
      </c>
      <c r="C136" s="3" t="inlineStr">
        <is>
          <t>평가-상위조직장-05</t>
        </is>
      </c>
      <c r="D136" s="3" t="inlineStr">
        <is>
          <t>평가 · 상위 조직장(2차 평가자)</t>
        </is>
      </c>
      <c r="E136" s="3" t="inlineStr">
        <is>
          <t>등급 조정 이력과 조정 세션 기록이 브라우저 임시 저장뿐 — 변경 이력(전·후 값·시각·변경자) 신설 필요, 이 신호의 전제. 알림 조절: 1차 평가자 본인의 행위이므로 1차에는 카드를 만들지 않고 2차 전용으로 둔다. 팀원 본인에게는 확정 통보 단계에서만 보인다</t>
        </is>
      </c>
      <c r="F136" s="8" t="n"/>
      <c r="G136" s="8" t="n"/>
      <c r="H136" s="9" t="n"/>
    </row>
    <row r="137" ht="30" customHeight="1">
      <c r="B137" s="3" t="n">
        <v>57</v>
      </c>
      <c r="C137" s="3" t="inlineStr">
        <is>
          <t>평가-HR경영진-01</t>
        </is>
      </c>
      <c r="D137" s="3" t="inlineStr">
        <is>
          <t>평가 · HR·경영진</t>
        </is>
      </c>
      <c r="E137" s="3" t="inlineStr">
        <is>
          <t>평가 레코드에 평가자 매핑·제출 시각·제출 상태가 없어 신설 필요, 평가 기간 일정 마스터도 없음 — 두 항목이 이 카드의 전제다. 팀장(1차 평가자)·상위 조직장(2차 평가자)에게 먼저 미제출 카드가 떴다는 전제 아래 생성한다</t>
        </is>
      </c>
      <c r="F137" s="8" t="n"/>
      <c r="G137" s="8" t="n"/>
      <c r="H137" s="9" t="n"/>
    </row>
    <row r="138" ht="30" customHeight="1">
      <c r="B138" s="3" t="n">
        <v>58</v>
      </c>
      <c r="C138" s="3" t="inlineStr">
        <is>
          <t>평가-HR경영진-02</t>
        </is>
      </c>
      <c r="D138" s="3" t="inlineStr">
        <is>
          <t>평가 · HR·경영진</t>
        </is>
      </c>
      <c r="E138" s="3" t="inlineStr">
        <is>
          <t>평가 221건에 근거 요약문은 있으나 그 근거가 어느 점검·다면 기록을 인용했는지 연결 정보가 없어 확인·신설 필요. 근거 최소 글자수 등 제도 기준값도 정해야 한다. 상위 조직장(2차 평가자)의 1차 평가 충실도 카드가 먼저 뜬다는 전제</t>
        </is>
      </c>
      <c r="F138" s="8" t="n"/>
      <c r="G138" s="8" t="n"/>
      <c r="H138" s="9" t="n"/>
    </row>
    <row r="139" ht="30" customHeight="1">
      <c r="B139" s="3" t="n">
        <v>59</v>
      </c>
      <c r="C139" s="3" t="inlineStr">
        <is>
          <t>평가-HR경영진-03</t>
        </is>
      </c>
      <c r="D139" s="3" t="inlineStr">
        <is>
          <t>평가 · HR·경영진</t>
        </is>
      </c>
      <c r="E139" s="3" t="inlineStr">
        <is>
          <t>등급 조정 이력·calibration 세션 기록이 브라우저 임시 저장뿐이라 서버 보존 신설 필요. 등급 분포 가이드라인 값도 제도로 정해야 한다. 등급(S/A/B/C) 221건과 과거 이력 204명분은 실제로 있어 분포 확인은 가능. 경영진용 카드(평가-HR경영진-04)와 같은 원인</t>
        </is>
      </c>
      <c r="F139" s="8" t="n"/>
      <c r="G139" s="8" t="n"/>
      <c r="H139" s="9" t="n"/>
    </row>
    <row r="140" ht="30" customHeight="1">
      <c r="B140" s="3" t="n">
        <v>60</v>
      </c>
      <c r="C140" s="3" t="inlineStr">
        <is>
          <t>평가-HR경영진-04</t>
        </is>
      </c>
      <c r="D140" s="3" t="inlineStr">
        <is>
          <t>평가 · HR·경영진</t>
        </is>
      </c>
      <c r="E140" s="3" t="inlineStr">
        <is>
          <t>HR용 카드(평가-HR경영진-03)와 같은 원인·같은 근거를 쓰고 행동만 다르다(HR=조정 회의 소집, 경영진=2차 평가자 재검토 지시). 2차 평가자 매핑이 없어 수신자를 정할 수 없으므로 평가자 매핑 신설 필요</t>
        </is>
      </c>
      <c r="F140" s="8" t="n"/>
      <c r="G140" s="8" t="n"/>
      <c r="H140" s="9" t="n"/>
    </row>
    <row r="141" ht="45" customHeight="1">
      <c r="B141" s="3" t="n">
        <v>61</v>
      </c>
      <c r="C141" s="3" t="inlineStr">
        <is>
          <t>평가-HR경영진-05</t>
        </is>
      </c>
      <c r="D141" s="3" t="inlineStr">
        <is>
          <t>평가 · HR·경영진</t>
        </is>
      </c>
      <c r="E141" s="3" t="inlineStr">
        <is>
          <t>평가 3요소 원점수·정규화점수·등급과 목표 진척률이 모두 있어 확인 가능하나, 평가가 어느 목표·핵심결과를 근거로 삼았는지 연결 정보가 없어 확인 필요. 등급 조정 이력 저장 위치 신설 필요. 상위 조직장(2차 평가자)의 팀 단위 카드가 먼저 뜬다는 전제이며 개인 이름은 노출하지 않고 조직 단위 인원 수만 보여준다</t>
        </is>
      </c>
      <c r="F141" s="8" t="n"/>
      <c r="G141" s="8" t="n"/>
      <c r="H141" s="9" t="n"/>
    </row>
    <row r="142" ht="15" customHeight="1">
      <c r="B142" s="3" t="n">
        <v>62</v>
      </c>
      <c r="C142" s="3" t="inlineStr">
        <is>
          <t>평가-HR경영진-06</t>
        </is>
      </c>
      <c r="D142" s="3" t="inlineStr">
        <is>
          <t>평가 · HR·경영진</t>
        </is>
      </c>
      <c r="E142" s="3" t="inlineStr">
        <is>
          <t>발령·직무이동 이력 채움률 0.5%(221명 중 1명)이고 평가자 매핑 자체가 없어 두 항목 모두 확인·신설 필요 — 두 원천이 갖춰진 뒤에 켠다</t>
        </is>
      </c>
      <c r="F142" s="8" t="n"/>
      <c r="G142" s="8" t="n"/>
      <c r="H142" s="9" t="n"/>
    </row>
    <row r="143" ht="30" customHeight="1">
      <c r="B143" s="3" t="n">
        <v>63</v>
      </c>
      <c r="C143" s="3" t="inlineStr">
        <is>
          <t>피드백-구성원-01</t>
        </is>
      </c>
      <c r="D143" s="3" t="inlineStr">
        <is>
          <t>피드백 · 구성원</t>
        </is>
      </c>
      <c r="E143" s="3" t="inlineStr">
        <is>
          <t>현 데모에서 다면진단 제출 결과가 어디에도 저장되지 않음 — 제출 기록 저장 위치 신설이 전제. 배정 목록과 마감일 원천도 확인 필요. 시드 피어리뷰 55건은 화면에 미사용</t>
        </is>
      </c>
      <c r="F143" s="8" t="n"/>
      <c r="G143" s="8" t="n"/>
      <c r="H143" s="9" t="n"/>
    </row>
    <row r="144" ht="30" customHeight="1">
      <c r="B144" s="3" t="n">
        <v>64</v>
      </c>
      <c r="C144" s="3" t="inlineStr">
        <is>
          <t>피드백-구성원-02</t>
        </is>
      </c>
      <c r="D144" s="3" t="inlineStr">
        <is>
          <t>피드백 · 구성원</t>
        </is>
      </c>
      <c r="E144" s="3" t="inlineStr">
        <is>
          <t>직무프로파일 98종의 역량 가중치와 역량 5종·스킬사전 749종은 실측 확인. 다면진단가 13명 55건에만 있어 모수 부족 — 전사 시행 여부 확인 필요. 개발 메모 저장 위치도 없어 신설 필요. 재알림은 다면 결과가 사이클당 1회만 산출되므로 1회로 둠</t>
        </is>
      </c>
      <c r="F144" s="8" t="n"/>
      <c r="G144" s="8" t="n"/>
      <c r="H144" s="9" t="n"/>
    </row>
    <row r="145" ht="30" customHeight="1">
      <c r="B145" s="3" t="n">
        <v>65</v>
      </c>
      <c r="C145" s="3" t="inlineStr">
        <is>
          <t>피드백-구성원-03</t>
        </is>
      </c>
      <c r="D145" s="3" t="inlineStr">
        <is>
          <t>피드백 · 구성원</t>
        </is>
      </c>
      <c r="E145" s="3" t="inlineStr">
        <is>
          <t>받은 피드백 기록 7건·상향 피드백 2건으로 데이터 희박. 피드백 전달 여부(보냄·받음·열람) 기록이 없어 신설 필요. '같은 목표에 함께 걸린 동료' 판단은 목표-참여자 관계 정의가 있어야 가능(현재 개인 목표 1건) — 관계가 없으면 이 카드를 만들지 않음</t>
        </is>
      </c>
      <c r="F145" s="8" t="n"/>
      <c r="G145" s="8" t="n"/>
      <c r="H145" s="9" t="n"/>
    </row>
    <row r="146" ht="15" customHeight="1">
      <c r="B146" s="3" t="n">
        <v>66</v>
      </c>
      <c r="C146" s="3" t="inlineStr">
        <is>
          <t>피드백-팀장-01</t>
        </is>
      </c>
      <c r="D146" s="3" t="inlineStr">
        <is>
          <t>피드백 · 팀장(1차 평가자)</t>
        </is>
      </c>
      <c r="E146" s="3" t="inlineStr">
        <is>
          <t>피드백 면담 기간 일정과 면담 기록이 모두 서버에 없음(1on1 기록은 브라우저 80건 롤링) — 둘 다 신설 확인 필요</t>
        </is>
      </c>
      <c r="F146" s="8" t="n"/>
      <c r="G146" s="8" t="n"/>
      <c r="H146" s="9" t="n"/>
    </row>
    <row r="147" ht="15" customHeight="1">
      <c r="B147" s="3" t="n">
        <v>67</v>
      </c>
      <c r="C147" s="3" t="inlineStr">
        <is>
          <t>피드백-팀장-02</t>
        </is>
      </c>
      <c r="D147" s="3" t="inlineStr">
        <is>
          <t>피드백 · 팀장(1차 평가자)</t>
        </is>
      </c>
      <c r="E147" s="3" t="inlineStr">
        <is>
          <t>피드백 전달 여부(보냄·받음·열람) 기록이 없고 받은 피드백 기록도 7건뿐 — 이 신호의 전제이므로 신설 확인 필요. 피드백 초안 저장 위치도 함께 필요</t>
        </is>
      </c>
      <c r="F147" s="8" t="n"/>
      <c r="G147" s="8" t="n"/>
      <c r="H147" s="9" t="n"/>
    </row>
    <row r="148" ht="30" customHeight="1">
      <c r="B148" s="3" t="n">
        <v>68</v>
      </c>
      <c r="C148" s="3" t="inlineStr">
        <is>
          <t>피드백-팀장-03</t>
        </is>
      </c>
      <c r="D148" s="3" t="inlineStr">
        <is>
          <t>피드백 · 팀장(1차 평가자)</t>
        </is>
      </c>
      <c r="E148" s="3" t="inlineStr">
        <is>
          <t>동료 리뷰 55건은 13명 한정이고 화면에 쓰이지 않으며 다면진단 제출 결과가 어디에도 저장되지 않음 — 다면 데이터 저장과 모수 확대가 이 신호의 전제. 역량 프로파일(역량별 가중치)은 실측 확인됨</t>
        </is>
      </c>
      <c r="F148" s="8" t="n"/>
      <c r="G148" s="8" t="n"/>
      <c r="H148" s="9" t="n"/>
    </row>
    <row r="149" ht="30" customHeight="1">
      <c r="B149" s="3" t="n">
        <v>69</v>
      </c>
      <c r="C149" s="3" t="inlineStr">
        <is>
          <t>피드백-상위조직장-01</t>
        </is>
      </c>
      <c r="D149" s="3" t="inlineStr">
        <is>
          <t>피드백 · 상위 조직장(2차 평가자)</t>
        </is>
      </c>
      <c r="E149" s="3" t="inlineStr">
        <is>
          <t>결과 면담 기간을 담는 일정 마스터 없음 — 신설 필요. 1on1·면담 기록이 브라우저 80건 롤링 — 서버 보존 신설 필요. 알림 조절: 대상자별 면담 독려는 1차가 하고, 2차에는 팀 합계만 올린다</t>
        </is>
      </c>
      <c r="F149" s="8" t="n"/>
      <c r="G149" s="8" t="n"/>
      <c r="H149" s="9" t="n"/>
    </row>
    <row r="150" ht="30" customHeight="1">
      <c r="B150" s="3" t="n">
        <v>70</v>
      </c>
      <c r="C150" s="3" t="inlineStr">
        <is>
          <t>피드백-상위조직장-02</t>
        </is>
      </c>
      <c r="D150" s="3" t="inlineStr">
        <is>
          <t>피드백 · 상위 조직장(2차 평가자)</t>
        </is>
      </c>
      <c r="E150" s="3" t="inlineStr">
        <is>
          <t>1on1·면담 합의 기록이 브라우저 80건 롤링 — 서버 보존 신설 필요. 등급 확정일 필드 확인 필요. 관측 대상은 팀원이 아니라 1차 평가자의 면담 실시 행위. 알림 조절: 대상자 개인의 면담 미실시는 1차에게만 뜨고, 2차에는 팀 단위로 묶어 올린다</t>
        </is>
      </c>
      <c r="F150" s="8" t="n"/>
      <c r="G150" s="8" t="n"/>
      <c r="H150" s="9" t="n"/>
    </row>
    <row r="151" ht="30" customHeight="1">
      <c r="B151" s="3" t="n">
        <v>71</v>
      </c>
      <c r="C151" s="3" t="inlineStr">
        <is>
          <t>피드백-상위조직장-03</t>
        </is>
      </c>
      <c r="D151" s="3" t="inlineStr">
        <is>
          <t>피드백 · 상위 조직장(2차 평가자)</t>
        </is>
      </c>
      <c r="E151" s="3" t="inlineStr">
        <is>
          <t>개발·육성 의견을 담는 필드가 따로 없음(평가 근거 요약문과 다면진단 코멘트뿐) — 신설 필요. 다면진단가 13명 한정(55건)이라 근거가 얇음 — 모수 확인 필요. 알림 조절: 개별 1건은 1차에게 먼저 뜨고, 3건 이상 모일 때만 2차 카드를 만든다</t>
        </is>
      </c>
      <c r="F151" s="8" t="n"/>
      <c r="G151" s="8" t="n"/>
      <c r="H151" s="9" t="n"/>
    </row>
    <row r="152" ht="30" customHeight="1">
      <c r="B152" s="3" t="n">
        <v>72</v>
      </c>
      <c r="C152" s="3" t="inlineStr">
        <is>
          <t>피드백-상위조직장-04</t>
        </is>
      </c>
      <c r="D152" s="3" t="inlineStr">
        <is>
          <t>피드백 · 상위 조직장(2차 평가자)</t>
        </is>
      </c>
      <c r="E152" s="3" t="inlineStr">
        <is>
          <t>상향 피드백이 2건뿐이고 전달·열람 기록이 없어 팀 합계 최소 건수(3건)를 채울 수 없다. 익명 수집이라 합쳐도 대상 1차 평가자를 특정하기 어려워 2차가 할 행동이 들여다보기로 끝난다(상위 전달 3조건 중 ①③ 미충족). 상향 피드백 수집 방식과 저장 위치가 정해진 뒤 재검토 필요</t>
        </is>
      </c>
      <c r="F152" s="8" t="n"/>
      <c r="G152" s="8" t="n"/>
      <c r="H152" s="9" t="n"/>
    </row>
    <row r="153" ht="30" customHeight="1">
      <c r="B153" s="3" t="n">
        <v>73</v>
      </c>
      <c r="C153" s="3" t="inlineStr">
        <is>
          <t>피드백-HR경영진-01</t>
        </is>
      </c>
      <c r="D153" s="3" t="inlineStr">
        <is>
          <t>피드백 · HR·경영진</t>
        </is>
      </c>
      <c r="E153" s="3" t="inlineStr">
        <is>
          <t>피드백·면담 기한을 담은 일정 마스터가 없고 1on1·면담 합의 기록이 브라우저 80건 롤링이라 서버 보존 신설 필요 — 두 항목이 이 카드의 전제. 팀장(1차 평가자)의 팀원 면담 카드가 먼저 뜬다는 전제 아래 생성한다</t>
        </is>
      </c>
      <c r="F153" s="8" t="n"/>
      <c r="G153" s="8" t="n"/>
      <c r="H153" s="9" t="n"/>
    </row>
    <row r="154" ht="30" customHeight="1">
      <c r="B154" s="3" t="n">
        <v>74</v>
      </c>
      <c r="C154" s="3" t="inlineStr">
        <is>
          <t>피드백-HR경영진-02</t>
        </is>
      </c>
      <c r="D154" s="3" t="inlineStr">
        <is>
          <t>피드백 · HR·경영진</t>
        </is>
      </c>
      <c r="E154" s="3" t="inlineStr">
        <is>
          <t>받은 피드백 기록 7건·상향 피드백 2건뿐이고 피드백 보냄·받음·열람 기록 자체가 없어 신설 필요. 1on1 기록도 브라우저 80건 롤링이라 서버 보존 필요. 팀장(1차 평가자)의 팀원 피드백 카드가 먼저 뜬다는 전제</t>
        </is>
      </c>
      <c r="F154" s="8" t="n"/>
      <c r="G154" s="8" t="n"/>
      <c r="H154" s="9" t="n"/>
    </row>
    <row r="155" ht="30" customHeight="1">
      <c r="B155" s="3" t="n">
        <v>75</v>
      </c>
      <c r="C155" s="3" t="inlineStr">
        <is>
          <t>피드백-HR경영진-03</t>
        </is>
      </c>
      <c r="D155" s="3" t="inlineStr">
        <is>
          <t>피드백 · HR·경영진</t>
        </is>
      </c>
      <c r="E155" s="3" t="inlineStr">
        <is>
          <t>다면(피어) 리뷰 55건이 13명 한정이고 다면진단 제출 결과가 현 데모에서 어디에도 저장되지 않아 제출 여부 저장 위치 확인·신설 필요. 다면진단 기간 일정도 없음</t>
        </is>
      </c>
      <c r="F155" s="8" t="n"/>
      <c r="G155" s="8" t="n"/>
      <c r="H155" s="9" t="n"/>
    </row>
    <row r="156" ht="30" customHeight="1">
      <c r="B156" s="3" t="n">
        <v>76</v>
      </c>
      <c r="C156" s="3" t="inlineStr">
        <is>
          <t>피드백-HR경영진-04</t>
        </is>
      </c>
      <c r="D156" s="3" t="inlineStr">
        <is>
          <t>피드백 · HR·경영진</t>
        </is>
      </c>
      <c r="E156" s="3" t="inlineStr">
        <is>
          <t>등급은 평가 221건에 있으나 개발 코멘트는 다면진단 55건(13명)에만 있고 면담 기록은 브라우저 80건 롤링이라 두 원천의 서버 보존과 연결 확인 필요. 개인 이름은 카드에 노출하지 않고 조직 단위 건수만 보여준다. 팀장(1차 평가자)이 팀원별 면담 카드를 먼저 받는다는 전제</t>
        </is>
      </c>
      <c r="F156" s="8" t="n"/>
      <c r="G156" s="8" t="n"/>
      <c r="H156" s="9" t="n"/>
    </row>
    <row r="158" ht="62" customHeight="1">
      <c r="B158" s="10" t="inlineStr">
        <is>
          <t>아직 데이터가 없어 새로 만들어야 하는 것 — ① 목표·핵심결과·평가의 최종 수정 일시 ② 평가·목표 기간 일정(개시일·마감일) ③ 1차·2차 평가자 지정과 제출 시각 ④ 등급 조정 회의 기록 ⑤ 알림 발송·열람·처리 기록 ⑥ 1on1 합의 기록 보존 ⑦ 자기평가 제출 저장 ⑧ 피드백 전달·열람 기록. ①이 없으면 T2(작성 공백) 카드가, ②가 없으면 T1(기한 도래) 카드가, ③이 없으면 상위 조직장(2차 평가자) 카드 전체가 만들어지지 않는다.</t>
        </is>
      </c>
    </row>
  </sheetData>
  <mergeCells count="81">
    <mergeCell ref="E125:H125"/>
    <mergeCell ref="E97:H97"/>
    <mergeCell ref="E109:H109"/>
    <mergeCell ref="E96:H96"/>
    <mergeCell ref="E145:H145"/>
    <mergeCell ref="E139:H139"/>
    <mergeCell ref="E129:H129"/>
    <mergeCell ref="E111:H111"/>
    <mergeCell ref="E142:H142"/>
    <mergeCell ref="E98:H98"/>
    <mergeCell ref="B34:F34"/>
    <mergeCell ref="E131:H131"/>
    <mergeCell ref="E88:H88"/>
    <mergeCell ref="E82:H82"/>
    <mergeCell ref="E153:H153"/>
    <mergeCell ref="E128:H128"/>
    <mergeCell ref="E155:H155"/>
    <mergeCell ref="E137:H137"/>
    <mergeCell ref="E105:H105"/>
    <mergeCell ref="E99:H99"/>
    <mergeCell ref="E119:H119"/>
    <mergeCell ref="E101:H101"/>
    <mergeCell ref="E116:H116"/>
    <mergeCell ref="E113:H113"/>
    <mergeCell ref="B158:H158"/>
    <mergeCell ref="E91:H91"/>
    <mergeCell ref="E85:H85"/>
    <mergeCell ref="E100:H100"/>
    <mergeCell ref="E136:H136"/>
    <mergeCell ref="E115:H115"/>
    <mergeCell ref="E93:H93"/>
    <mergeCell ref="E102:H102"/>
    <mergeCell ref="E122:H122"/>
    <mergeCell ref="E127:H127"/>
    <mergeCell ref="E147:H147"/>
    <mergeCell ref="E87:H87"/>
    <mergeCell ref="E156:H156"/>
    <mergeCell ref="E90:H90"/>
    <mergeCell ref="E148:H148"/>
    <mergeCell ref="E104:H104"/>
    <mergeCell ref="E110:H110"/>
    <mergeCell ref="E154:H154"/>
    <mergeCell ref="B62:F62"/>
    <mergeCell ref="E124:H124"/>
    <mergeCell ref="E146:H146"/>
    <mergeCell ref="E121:H121"/>
    <mergeCell ref="E130:H130"/>
    <mergeCell ref="E151:H151"/>
    <mergeCell ref="E117:H117"/>
    <mergeCell ref="E141:H141"/>
    <mergeCell ref="E123:H123"/>
    <mergeCell ref="E135:H135"/>
    <mergeCell ref="E92:H92"/>
    <mergeCell ref="E150:H150"/>
    <mergeCell ref="E132:H132"/>
    <mergeCell ref="E107:H107"/>
    <mergeCell ref="E143:H143"/>
    <mergeCell ref="E94:H94"/>
    <mergeCell ref="E103:H103"/>
    <mergeCell ref="E152:H152"/>
    <mergeCell ref="E84:H84"/>
    <mergeCell ref="E118:H118"/>
    <mergeCell ref="E149:H149"/>
    <mergeCell ref="E114:H114"/>
    <mergeCell ref="E108:H108"/>
    <mergeCell ref="E86:H86"/>
    <mergeCell ref="E95:H95"/>
    <mergeCell ref="E89:H89"/>
    <mergeCell ref="E144:H144"/>
    <mergeCell ref="E120:H120"/>
    <mergeCell ref="E134:H134"/>
    <mergeCell ref="E81:H81"/>
    <mergeCell ref="E112:H112"/>
    <mergeCell ref="B77:F77"/>
    <mergeCell ref="E106:H106"/>
    <mergeCell ref="E126:H126"/>
    <mergeCell ref="E83:H83"/>
    <mergeCell ref="E140:H140"/>
    <mergeCell ref="E138:H138"/>
    <mergeCell ref="B51:F51"/>
    <mergeCell ref="E133:H13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B2:J85"/>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2" customWidth="1" min="1" max="1"/>
    <col width="5" customWidth="1" min="2" max="2"/>
    <col width="17" customWidth="1" min="3" max="3"/>
    <col width="16" customWidth="1" min="4" max="4"/>
    <col width="13" customWidth="1" min="5" max="5"/>
    <col width="30" customWidth="1" min="6" max="6"/>
    <col width="34" customWidth="1" min="7" max="7"/>
    <col width="34" customWidth="1" min="8" max="8"/>
    <col width="30" customWidth="1" min="9" max="9"/>
    <col width="7" customWidth="1" min="10" max="10"/>
  </cols>
  <sheetData>
    <row r="2">
      <c r="B2" s="1" t="inlineStr">
        <is>
          <t>01 한눈에 보기 — 신호 → 근거 → 행동</t>
        </is>
      </c>
    </row>
    <row r="3">
      <c r="B3" s="11" t="inlineStr">
        <is>
          <t>한 줄 = 알림 카드 1장. 왼쪽부터 "무엇이 달라졌나(신호) → 왜 지금 알리나(근거) → 무엇을 하게 하나(행동)" 순으로 읽는다. 화면 카드도 같은 순서로 쌓인다. 카드에 들어갈 문구 전문은 02_카드문구, 알림이 뜨는 조건은 03_발생조건에 있다.</t>
        </is>
      </c>
    </row>
    <row r="5" ht="28" customHeight="1">
      <c r="B5" s="2" t="inlineStr">
        <is>
          <t>No.</t>
        </is>
      </c>
      <c r="C5" s="2" t="inlineStr">
        <is>
          <t>신호 ID</t>
        </is>
      </c>
      <c r="D5" s="2" t="inlineStr">
        <is>
          <t>수신 대상</t>
        </is>
      </c>
      <c r="E5" s="2" t="inlineStr">
        <is>
          <t>유형</t>
        </is>
      </c>
      <c r="F5" s="7" t="inlineStr">
        <is>
          <t>① 신호 — 무엇이 달라졌나</t>
        </is>
      </c>
      <c r="G5" s="12" t="inlineStr">
        <is>
          <t>② 근거 — 왜 지금 알리나</t>
        </is>
      </c>
      <c r="H5" s="5" t="inlineStr">
        <is>
          <t>③ 행동 — 무엇을 하게 하나</t>
        </is>
      </c>
      <c r="I5" s="5" t="inlineStr">
        <is>
          <t>결과가 남는 곳</t>
        </is>
      </c>
      <c r="J5" s="2" t="inlineStr">
        <is>
          <t>채택</t>
        </is>
      </c>
    </row>
    <row r="6" ht="20" customHeight="1">
      <c r="B6" s="13" t="inlineStr">
        <is>
          <t xml:space="preserve">  목표수립 단계</t>
        </is>
      </c>
      <c r="C6" s="8" t="n"/>
      <c r="D6" s="8" t="n"/>
      <c r="E6" s="8" t="n"/>
      <c r="F6" s="8" t="n"/>
      <c r="G6" s="8" t="n"/>
      <c r="H6" s="8" t="n"/>
      <c r="I6" s="8" t="n"/>
      <c r="J6" s="9" t="n"/>
    </row>
    <row r="7" ht="46" customHeight="1">
      <c r="B7" s="14" t="n">
        <v>1</v>
      </c>
      <c r="C7" s="3" t="inlineStr">
        <is>
          <t>목표수립-구성원-01</t>
        </is>
      </c>
      <c r="D7" s="3" t="inlineStr">
        <is>
          <t>구성원</t>
        </is>
      </c>
      <c r="E7" s="14" t="inlineStr">
        <is>
          <t>T1 기한 도래</t>
        </is>
      </c>
      <c r="F7" s="15" t="inlineStr">
        <is>
          <t>저장된 목표가 0건, 마감은 사흘 뒤예요</t>
        </is>
      </c>
      <c r="G7" s="3" t="inlineStr">
        <is>
          <t>FY2026-2Q 마감일이 8월 15일이에요</t>
        </is>
      </c>
      <c r="H7" s="3" t="inlineStr">
        <is>
          <t>A1 작성 — 목표 초안
[목표 3건 저장]</t>
        </is>
      </c>
      <c r="I7" s="3" t="inlineStr">
        <is>
          <t>목표 기록 신규 생성 (핵심결과 포함)</t>
        </is>
      </c>
      <c r="J7" s="14" t="inlineStr">
        <is>
          <t>범용</t>
        </is>
      </c>
    </row>
    <row r="8" ht="46" customHeight="1">
      <c r="B8" s="14" t="n">
        <v>2</v>
      </c>
      <c r="C8" s="3" t="inlineStr">
        <is>
          <t>목표수립-구성원-02</t>
        </is>
      </c>
      <c r="D8" s="3" t="inlineStr">
        <is>
          <t>구성원</t>
        </is>
      </c>
      <c r="E8" s="14" t="inlineStr">
        <is>
          <t>T2 작성 공백</t>
        </is>
      </c>
      <c r="F8" s="15" t="inlineStr">
        <is>
          <t>목표 G-0142에 핵심결과가 0건이에요</t>
        </is>
      </c>
      <c r="G8" s="3" t="inlineStr">
        <is>
          <t>저장한 지 7일째인데 같은 팀 평균은 3.7건이에요</t>
        </is>
      </c>
      <c r="H8" s="3" t="inlineStr">
        <is>
          <t>A1 작성 — 핵심결과 초안
[핵심결과 3건 저장]</t>
        </is>
      </c>
      <c r="I8" s="3" t="inlineStr">
        <is>
          <t>핵심결과 기록 신규 생성 (목표에 연결)</t>
        </is>
      </c>
      <c r="J8" s="14" t="inlineStr">
        <is>
          <t>고유</t>
        </is>
      </c>
    </row>
    <row r="9" ht="46" customHeight="1">
      <c r="B9" s="14" t="n">
        <v>3</v>
      </c>
      <c r="C9" s="3" t="inlineStr">
        <is>
          <t>목표수립-구성원-03</t>
        </is>
      </c>
      <c r="D9" s="3" t="inlineStr">
        <is>
          <t>구성원</t>
        </is>
      </c>
      <c r="E9" s="14" t="inlineStr">
        <is>
          <t>T3 기준 이탈</t>
        </is>
      </c>
      <c r="F9" s="15" t="inlineStr">
        <is>
          <t>핵심결과 가중치 합이 85%에 그쳐요</t>
        </is>
      </c>
      <c r="G9" s="3" t="inlineStr">
        <is>
          <t>기준 100%에서 15%포인트가 비어 있어요</t>
        </is>
      </c>
      <c r="H9" s="3" t="inlineStr">
        <is>
          <t>A2 수정 — 가중치 조정 초안
[가중치 조정 반영]</t>
        </is>
      </c>
      <c r="I9" s="3" t="inlineStr">
        <is>
          <t>핵심결과 가중치 수정 + 수정 이력</t>
        </is>
      </c>
      <c r="J9" s="14" t="inlineStr">
        <is>
          <t>고유</t>
        </is>
      </c>
    </row>
    <row r="10" ht="46" customHeight="1">
      <c r="B10" s="14" t="n">
        <v>4</v>
      </c>
      <c r="C10" s="3" t="inlineStr">
        <is>
          <t>목표수립-구성원-04</t>
        </is>
      </c>
      <c r="D10" s="3" t="inlineStr">
        <is>
          <t>구성원</t>
        </is>
      </c>
      <c r="E10" s="14" t="inlineStr">
        <is>
          <t>T4 연결 불일치</t>
        </is>
      </c>
      <c r="F10" s="15" t="inlineStr">
        <is>
          <t>핵심결과 3건 중 2건이 직무 과업과 끊겼어요</t>
        </is>
      </c>
      <c r="G10" s="3" t="inlineStr">
        <is>
          <t>가중치 1위 역량 D2에 걸린 핵심결과가 없어요</t>
        </is>
      </c>
      <c r="H10" s="3" t="inlineStr">
        <is>
          <t>A2 수정 — 핵심결과 수정 초안
[이 연결로 수정]</t>
        </is>
      </c>
      <c r="I10" s="3" t="inlineStr">
        <is>
          <t>핵심결과 내용·직무 과업 연결 수정 + 수정 이력</t>
        </is>
      </c>
      <c r="J10" s="14" t="inlineStr">
        <is>
          <t>고유</t>
        </is>
      </c>
    </row>
    <row r="11" ht="46" customHeight="1">
      <c r="B11" s="14" t="n">
        <v>5</v>
      </c>
      <c r="C11" s="3" t="inlineStr">
        <is>
          <t>목표수립-구성원-05</t>
        </is>
      </c>
      <c r="D11" s="3" t="inlineStr">
        <is>
          <t>구성원</t>
        </is>
      </c>
      <c r="E11" s="14" t="inlineStr">
        <is>
          <t>T5 상황 변동</t>
        </is>
      </c>
      <c r="F11" s="15" t="inlineStr">
        <is>
          <t>직무가 바뀌었는데 목표 2건이 그대로예요</t>
        </is>
      </c>
      <c r="G11" s="3" t="inlineStr">
        <is>
          <t>7월 1일 발령 뒤에도 이전 직무 과업을 보고 있어요</t>
        </is>
      </c>
      <c r="H11" s="3" t="inlineStr">
        <is>
          <t>A2 수정 — 목표 수정 초안
[새 직무로 수정]</t>
        </is>
      </c>
      <c r="I11" s="3" t="inlineStr">
        <is>
          <t>목표·핵심결과 수정 + 수정 이력 (직무 변경 사유 함께 기록)</t>
        </is>
      </c>
      <c r="J11" s="14" t="inlineStr">
        <is>
          <t>고유</t>
        </is>
      </c>
    </row>
    <row r="12" ht="46" customHeight="1">
      <c r="B12" s="14" t="n">
        <v>6</v>
      </c>
      <c r="C12" s="3" t="inlineStr">
        <is>
          <t>목표수립-팀장-01</t>
        </is>
      </c>
      <c r="D12" s="3" t="inlineStr">
        <is>
          <t>팀장(1차 평가자)</t>
        </is>
      </c>
      <c r="E12" s="14" t="inlineStr">
        <is>
          <t>T1 기한 도래</t>
        </is>
      </c>
      <c r="F12" s="15" t="inlineStr">
        <is>
          <t>B님 목표가 마감 사흘 전인데 0건이에요</t>
        </is>
      </c>
      <c r="G12" s="3" t="inlineStr">
        <is>
          <t>7월 31일 마감인데 등록된 목표가 없어요</t>
        </is>
      </c>
      <c r="H12" s="3" t="inlineStr">
        <is>
          <t>A3 전달 — 리마인드 초안
[리마인드 보내기]</t>
        </is>
      </c>
      <c r="I12" s="3" t="inlineStr">
        <is>
          <t>메시지 기록 + 보냄·받음 기록 생성 (알림·메시지 발송·열람 기록 저장 위치 신설 필요)</t>
        </is>
      </c>
      <c r="J12" s="14" t="inlineStr">
        <is>
          <t>범용</t>
        </is>
      </c>
    </row>
    <row r="13" ht="46" customHeight="1">
      <c r="B13" s="14" t="n">
        <v>7</v>
      </c>
      <c r="C13" s="3" t="inlineStr">
        <is>
          <t>목표수립-팀장-02</t>
        </is>
      </c>
      <c r="D13" s="3" t="inlineStr">
        <is>
          <t>팀장(1차 평가자)</t>
        </is>
      </c>
      <c r="E13" s="14" t="inlineStr">
        <is>
          <t>T2 작성 공백</t>
        </is>
      </c>
      <c r="F13" s="15" t="inlineStr">
        <is>
          <t>B님 목표 2건에 핵심결과가 없어요</t>
        </is>
      </c>
      <c r="G13" s="3" t="inlineStr">
        <is>
          <t>수립 시작 열흘째인데 팀 평균은 3.7건이에요</t>
        </is>
      </c>
      <c r="H13" s="3" t="inlineStr">
        <is>
          <t>A3 전달 — 핵심결과 제안 초안
[후보 담아 보내기]</t>
        </is>
      </c>
      <c r="I13" s="3" t="inlineStr">
        <is>
          <t>메시지 기록 + 해당 목표에 남는 검토 코멘트 (목표별 검토 코멘트 저장 위치 신설 필요)</t>
        </is>
      </c>
      <c r="J13" s="14" t="inlineStr">
        <is>
          <t>고유</t>
        </is>
      </c>
    </row>
    <row r="14" ht="26" customHeight="1">
      <c r="B14" s="16" t="n">
        <v>8</v>
      </c>
      <c r="C14" s="17" t="inlineStr">
        <is>
          <t>목표수립-팀장-03</t>
        </is>
      </c>
      <c r="D14" s="17" t="inlineStr">
        <is>
          <t>팀장(1차 평가자)</t>
        </is>
      </c>
      <c r="E14" s="16" t="inlineStr">
        <is>
          <t>T3 기준 이탈</t>
        </is>
      </c>
      <c r="F14" s="17" t="inlineStr">
        <is>
          <t>B님 핵심결과 6건 중 5건이 난이도 C예요</t>
        </is>
      </c>
      <c r="G14" s="17" t="inlineStr">
        <is>
          <t>같은 팀 난이도 C 비중은 38%예요</t>
        </is>
      </c>
      <c r="H14" s="17" t="inlineStr">
        <is>
          <t>-</t>
        </is>
      </c>
      <c r="I14" s="17" t="inlineStr">
        <is>
          <t>-</t>
        </is>
      </c>
      <c r="J14" s="16" t="inlineStr">
        <is>
          <t>제외</t>
        </is>
      </c>
    </row>
    <row r="15" ht="46" customHeight="1">
      <c r="B15" s="14" t="n">
        <v>9</v>
      </c>
      <c r="C15" s="3" t="inlineStr">
        <is>
          <t>목표수립-팀장-04</t>
        </is>
      </c>
      <c r="D15" s="3" t="inlineStr">
        <is>
          <t>팀장(1차 평가자)</t>
        </is>
      </c>
      <c r="E15" s="14" t="inlineStr">
        <is>
          <t>T4 연결 불일치</t>
        </is>
      </c>
      <c r="F15" s="15" t="inlineStr">
        <is>
          <t>B님 목표 2건 중 1건이 팀과 안 이어져요</t>
        </is>
      </c>
      <c r="G15" s="3" t="inlineStr">
        <is>
          <t>팀 목표 3건 중 어디에도 연결돼 있지 않아요</t>
        </is>
      </c>
      <c r="H15" s="3" t="inlineStr">
        <is>
          <t>A2 수정 — 목표 연결 수정 초안
[이 팀 목표로 연결]</t>
        </is>
      </c>
      <c r="I15" s="3" t="inlineStr">
        <is>
          <t>해당 목표의 상위목표 연결 수정 + 수정 이력 기록 (목표 수정 이력 저장 위치 신설 필요)</t>
        </is>
      </c>
      <c r="J15" s="14" t="inlineStr">
        <is>
          <t>고유</t>
        </is>
      </c>
    </row>
    <row r="16" ht="46" customHeight="1">
      <c r="B16" s="14" t="n">
        <v>10</v>
      </c>
      <c r="C16" s="3" t="inlineStr">
        <is>
          <t>목표수립-팀장-05</t>
        </is>
      </c>
      <c r="D16" s="3" t="inlineStr">
        <is>
          <t>팀장(1차 평가자)</t>
        </is>
      </c>
      <c r="E16" s="14" t="inlineStr">
        <is>
          <t>T5 상황 변동</t>
        </is>
      </c>
      <c r="F16" s="15" t="inlineStr">
        <is>
          <t>B님 목표 3건이 이전 조직에 걸려 있어요</t>
        </is>
      </c>
      <c r="G16" s="3" t="inlineStr">
        <is>
          <t>7월 1일 발령 뒤 7일이 지났는데 그대로예요</t>
        </is>
      </c>
      <c r="H16" s="3" t="inlineStr">
        <is>
          <t>A4 면담 — 목표 재설정 대화 아젠다 초안
[이 아젠다로 대화 잡기]</t>
        </is>
      </c>
      <c r="I16" s="3" t="inlineStr">
        <is>
          <t>일정 생성 + 이야기할 항목 기록(그대로 가져올 목표·새로 만들 목표·남은 기간에 맞춘 목표값) (1on1 기록 서버 보존 신설 필요)</t>
        </is>
      </c>
      <c r="J16" s="14" t="inlineStr">
        <is>
          <t>고유</t>
        </is>
      </c>
    </row>
    <row r="17" ht="46" customHeight="1">
      <c r="B17" s="14" t="n">
        <v>11</v>
      </c>
      <c r="C17" s="3" t="inlineStr">
        <is>
          <t>목표수립-상위조직장-01</t>
        </is>
      </c>
      <c r="D17" s="3" t="inlineStr">
        <is>
          <t>상위 조직장(2차 평가자)</t>
        </is>
      </c>
      <c r="E17" s="14" t="inlineStr">
        <is>
          <t>T1 기한 도래</t>
        </is>
      </c>
      <c r="F17" s="15" t="inlineStr">
        <is>
          <t>하위 3개 팀 목표 수립이 30% 아래예요</t>
        </is>
      </c>
      <c r="G17" s="3" t="inlineStr">
        <is>
          <t>마감 사흘 전인데 내 조직 평균은 62%예요</t>
        </is>
      </c>
      <c r="H17" s="3" t="inlineStr">
        <is>
          <t>A3 전달 — 마감 안내 초안
[마감 안내 보내기]</t>
        </is>
      </c>
      <c r="I17" s="3" t="inlineStr">
        <is>
          <t>메시지 기록 + 보냄·받음 기록 (알림 이력에 발송 결과 저장 — 서버 보존 신설 필요)</t>
        </is>
      </c>
      <c r="J17" s="14" t="inlineStr">
        <is>
          <t>범용</t>
        </is>
      </c>
    </row>
    <row r="18" ht="46" customHeight="1">
      <c r="B18" s="14" t="n">
        <v>12</v>
      </c>
      <c r="C18" s="3" t="inlineStr">
        <is>
          <t>목표수립-상위조직장-02</t>
        </is>
      </c>
      <c r="D18" s="3" t="inlineStr">
        <is>
          <t>상위 조직장(2차 평가자)</t>
        </is>
      </c>
      <c r="E18" s="14" t="inlineStr">
        <is>
          <t>T2 작성 공백</t>
        </is>
      </c>
      <c r="F18" s="15" t="inlineStr">
        <is>
          <t>B팀장 검토가 목표 7건에서 멈춰 있어요</t>
        </is>
      </c>
      <c r="G18" s="3" t="inlineStr">
        <is>
          <t>14일 넘게 대기 중인데 조직 평균은 3일이에요</t>
        </is>
      </c>
      <c r="H18" s="3" t="inlineStr">
        <is>
          <t>A6 요청 — 검토 요청 초안
[검토 요청 보내기]</t>
        </is>
      </c>
      <c r="I18" s="3" t="inlineStr">
        <is>
          <t>요청 기록 + 승인 흐름 (목표 검토 요청 이력 저장 위치 신설 필요)</t>
        </is>
      </c>
      <c r="J18" s="14" t="inlineStr">
        <is>
          <t>고유</t>
        </is>
      </c>
    </row>
    <row r="19" ht="46" customHeight="1">
      <c r="B19" s="14" t="n">
        <v>13</v>
      </c>
      <c r="C19" s="3" t="inlineStr">
        <is>
          <t>목표수립-상위조직장-03</t>
        </is>
      </c>
      <c r="D19" s="3" t="inlineStr">
        <is>
          <t>상위 조직장(2차 평가자)</t>
        </is>
      </c>
      <c r="E19" s="14" t="inlineStr">
        <is>
          <t>T3 기준 이탈</t>
        </is>
      </c>
      <c r="F19" s="15" t="inlineStr">
        <is>
          <t>C팀 핵심결과 14건이 난이도 C예요</t>
        </is>
      </c>
      <c r="G19" s="3" t="inlineStr">
        <is>
          <t>18건 중 14건이고 조직 평균은 38%예요</t>
        </is>
      </c>
      <c r="H19" s="3" t="inlineStr">
        <is>
          <t>A4 면담 — 목표 검토 회의 아젠다 초안
[이 아젠다로 회의 잡기]</t>
        </is>
      </c>
      <c r="I19" s="3" t="inlineStr">
        <is>
          <t>일정 + 이야기할 항목 기록 (목표 검토 회의 기록 — 서버 보존 신설 필요)</t>
        </is>
      </c>
      <c r="J19" s="14" t="inlineStr">
        <is>
          <t>고유</t>
        </is>
      </c>
    </row>
    <row r="20" ht="26" customHeight="1">
      <c r="B20" s="16" t="n">
        <v>14</v>
      </c>
      <c r="C20" s="17" t="inlineStr">
        <is>
          <t>목표수립-상위조직장-04</t>
        </is>
      </c>
      <c r="D20" s="17" t="inlineStr">
        <is>
          <t>상위 조직장(2차 평가자)</t>
        </is>
      </c>
      <c r="E20" s="16" t="inlineStr">
        <is>
          <t>T3 기준 이탈</t>
        </is>
      </c>
      <c r="F20" s="17" t="inlineStr">
        <is>
          <t>팀별 1인당 목표 수가 1.2~2.4건이에요</t>
        </is>
      </c>
      <c r="G20" s="17" t="inlineStr">
        <is>
          <t>내 조직 평균은 1인당 1.7건이에요</t>
        </is>
      </c>
      <c r="H20" s="17" t="inlineStr">
        <is>
          <t>-</t>
        </is>
      </c>
      <c r="I20" s="17" t="inlineStr">
        <is>
          <t>-</t>
        </is>
      </c>
      <c r="J20" s="16" t="inlineStr">
        <is>
          <t>제외</t>
        </is>
      </c>
    </row>
    <row r="21" ht="46" customHeight="1">
      <c r="B21" s="14" t="n">
        <v>15</v>
      </c>
      <c r="C21" s="3" t="inlineStr">
        <is>
          <t>목표수립-상위조직장-05</t>
        </is>
      </c>
      <c r="D21" s="3" t="inlineStr">
        <is>
          <t>상위 조직장(2차 평가자)</t>
        </is>
      </c>
      <c r="E21" s="14" t="inlineStr">
        <is>
          <t>T4 연결 불일치</t>
        </is>
      </c>
      <c r="F21" s="15" t="inlineStr">
        <is>
          <t>하위 팀 목표 4건이 상위와 안 이어져요</t>
        </is>
      </c>
      <c r="G21" s="3" t="inlineStr">
        <is>
          <t>22건 중 4건인데 제도 기준은 전 건 연결이에요</t>
        </is>
      </c>
      <c r="H21" s="3" t="inlineStr">
        <is>
          <t>A6 요청 — 목표 정렬 요청 초안
[정렬 요청 보내기]</t>
        </is>
      </c>
      <c r="I21" s="3" t="inlineStr">
        <is>
          <t>요청 기록 + 승인 흐름 (목표 정렬 요청 이력 저장 위치 신설 필요)</t>
        </is>
      </c>
      <c r="J21" s="14" t="inlineStr">
        <is>
          <t>고유</t>
        </is>
      </c>
    </row>
    <row r="22" ht="46" customHeight="1">
      <c r="B22" s="14" t="n">
        <v>16</v>
      </c>
      <c r="C22" s="3" t="inlineStr">
        <is>
          <t>목표수립-상위조직장-06</t>
        </is>
      </c>
      <c r="D22" s="3" t="inlineStr">
        <is>
          <t>상위 조직장(2차 평가자)</t>
        </is>
      </c>
      <c r="E22" s="14" t="inlineStr">
        <is>
          <t>T5 상황 변동</t>
        </is>
      </c>
      <c r="F22" s="15" t="inlineStr">
        <is>
          <t>팀 통합 21일째인데 목표는 그대로예요</t>
        </is>
      </c>
      <c r="G22" s="3" t="inlineStr">
        <is>
          <t>7월 1일 통합 뒤 목표 소유 변경이 0건이에요</t>
        </is>
      </c>
      <c r="H22" s="3" t="inlineStr">
        <is>
          <t>A6 요청 — 목표 재정렬 요청 초안
[재정렬 요청 보내기]</t>
        </is>
      </c>
      <c r="I22" s="3" t="inlineStr">
        <is>
          <t>요청 기록 + 승인 흐름 (목표 재정렬 요청 이력 저장 위치 신설 필요)</t>
        </is>
      </c>
      <c r="J22" s="14" t="inlineStr">
        <is>
          <t>고유</t>
        </is>
      </c>
    </row>
    <row r="23" ht="46" customHeight="1">
      <c r="B23" s="14" t="n">
        <v>17</v>
      </c>
      <c r="C23" s="3" t="inlineStr">
        <is>
          <t>목표수립-HR경영진-01</t>
        </is>
      </c>
      <c r="D23" s="3" t="inlineStr">
        <is>
          <t>HR·경영진</t>
        </is>
      </c>
      <c r="E23" s="14" t="inlineStr">
        <is>
          <t>T1 기한 도래</t>
        </is>
      </c>
      <c r="F23" s="15" t="inlineStr">
        <is>
          <t>마감 사흘 전 전사 확정률이 68%예요</t>
        </is>
      </c>
      <c r="G23" s="3" t="inlineStr">
        <is>
          <t>제도 기준 90%인데 미확정 조직이 9곳이에요</t>
        </is>
      </c>
      <c r="H23" s="3" t="inlineStr">
        <is>
          <t>A3 전달 — 독려 안내 초안
[독려 안내 발송]</t>
        </is>
      </c>
      <c r="I23" s="3" t="inlineStr">
        <is>
          <t>독려 메시지 발송 기록(보냄·받음) + 조직별 처리 상태 — 알림 발송 기록 신설 필요</t>
        </is>
      </c>
      <c r="J23" s="14" t="inlineStr">
        <is>
          <t>범용</t>
        </is>
      </c>
    </row>
    <row r="24" ht="26" customHeight="1">
      <c r="B24" s="16" t="n">
        <v>18</v>
      </c>
      <c r="C24" s="17" t="inlineStr">
        <is>
          <t>목표수립-HR경영진-02</t>
        </is>
      </c>
      <c r="D24" s="17" t="inlineStr">
        <is>
          <t>HR·경영진</t>
        </is>
      </c>
      <c r="E24" s="16" t="inlineStr">
        <is>
          <t>T2 작성 공백</t>
        </is>
      </c>
      <c r="F24" s="17" t="inlineStr">
        <is>
          <t>목표가 여러 조직에서 그대로 멈춰 있어요</t>
        </is>
      </c>
      <c r="G24" s="17" t="inlineStr">
        <is>
          <t>최종 수정 일시가 없어 정체 기간을 셀 수 없어요</t>
        </is>
      </c>
      <c r="H24" s="17" t="inlineStr">
        <is>
          <t>-</t>
        </is>
      </c>
      <c r="I24" s="17" t="inlineStr">
        <is>
          <t>-</t>
        </is>
      </c>
      <c r="J24" s="16" t="inlineStr">
        <is>
          <t>제외</t>
        </is>
      </c>
    </row>
    <row r="25" ht="46" customHeight="1">
      <c r="B25" s="14" t="n">
        <v>19</v>
      </c>
      <c r="C25" s="3" t="inlineStr">
        <is>
          <t>목표수립-HR경영진-03</t>
        </is>
      </c>
      <c r="D25" s="3" t="inlineStr">
        <is>
          <t>HR·경영진</t>
        </is>
      </c>
      <c r="E25" s="14" t="inlineStr">
        <is>
          <t>T3 기준 이탈</t>
        </is>
      </c>
      <c r="F25" s="15" t="inlineStr">
        <is>
          <t>A조직 난이도 C 비중이 62%예요</t>
        </is>
      </c>
      <c r="G25" s="3" t="inlineStr">
        <is>
          <t>제도 기준 40% 이하인데 전사는 34%예요</t>
        </is>
      </c>
      <c r="H25" s="3" t="inlineStr">
        <is>
          <t>A6 요청 — 난이도 재검토 요청 초안
[재검토 요청]</t>
        </is>
      </c>
      <c r="I25" s="3" t="inlineStr">
        <is>
          <t>난이도 재검토 요청 기록 + 조직별 회신·수정 상태 — 요청 처리 이력 신설 필요</t>
        </is>
      </c>
      <c r="J25" s="14" t="inlineStr">
        <is>
          <t>고유</t>
        </is>
      </c>
    </row>
    <row r="26" ht="46" customHeight="1">
      <c r="B26" s="14" t="n">
        <v>20</v>
      </c>
      <c r="C26" s="3" t="inlineStr">
        <is>
          <t>목표수립-HR경영진-04</t>
        </is>
      </c>
      <c r="D26" s="3" t="inlineStr">
        <is>
          <t>HR·경영진</t>
        </is>
      </c>
      <c r="E26" s="14" t="inlineStr">
        <is>
          <t>T3 기준 이탈</t>
        </is>
      </c>
      <c r="F26" s="15" t="inlineStr">
        <is>
          <t>조직 간 난이도 격차가 62%포인트예요</t>
        </is>
      </c>
      <c r="G26" s="3" t="inlineStr">
        <is>
          <t>가장 높은 조직 62%, 가장 낮은 조직 0%예요</t>
        </is>
      </c>
      <c r="H26" s="3" t="inlineStr">
        <is>
          <t>A5 확인 — 조회 옵션
[비교 화면 열기]</t>
        </is>
      </c>
      <c r="I26" s="3" t="inlineStr">
        <is>
          <t>조회만 — 남는 것 없음</t>
        </is>
      </c>
      <c r="J26" s="14" t="inlineStr">
        <is>
          <t>고유</t>
        </is>
      </c>
    </row>
    <row r="27" ht="46" customHeight="1">
      <c r="B27" s="14" t="n">
        <v>21</v>
      </c>
      <c r="C27" s="3" t="inlineStr">
        <is>
          <t>목표수립-HR경영진-05</t>
        </is>
      </c>
      <c r="D27" s="3" t="inlineStr">
        <is>
          <t>HR·경영진</t>
        </is>
      </c>
      <c r="E27" s="14" t="inlineStr">
        <is>
          <t>T4 연결 불일치</t>
        </is>
      </c>
      <c r="F27" s="15" t="inlineStr">
        <is>
          <t>세 조직에서 목표 연결이 35% 끊겼어요</t>
        </is>
      </c>
      <c r="G27" s="3" t="inlineStr">
        <is>
          <t>대상 목표 14건인데 전사 미연결은 5%예요</t>
        </is>
      </c>
      <c r="H27" s="3" t="inlineStr">
        <is>
          <t>A3 전달 — 연결 기준 안내 초안
[기준 안내 발송]</t>
        </is>
      </c>
      <c r="I27" s="3" t="inlineStr">
        <is>
          <t>안내 메시지 발송 기록(보냄·받음) + 조직별 보완 요청 상태 — 알림 발송 기록 신설 필요</t>
        </is>
      </c>
      <c r="J27" s="14" t="inlineStr">
        <is>
          <t>고유</t>
        </is>
      </c>
    </row>
    <row r="28" ht="46" customHeight="1">
      <c r="B28" s="14" t="n">
        <v>22</v>
      </c>
      <c r="C28" s="3" t="inlineStr">
        <is>
          <t>목표수립-HR경영진-06</t>
        </is>
      </c>
      <c r="D28" s="3" t="inlineStr">
        <is>
          <t>HR·경영진</t>
        </is>
      </c>
      <c r="E28" s="14" t="inlineStr">
        <is>
          <t>T4 연결 불일치</t>
        </is>
      </c>
      <c r="F28" s="15" t="inlineStr">
        <is>
          <t>두 본부의 전략과제 연결 목표가 0건이에요</t>
        </is>
      </c>
      <c r="G28" s="3" t="inlineStr">
        <is>
          <t>같은 본부에서 상위 미연결이 35%예요</t>
        </is>
      </c>
      <c r="H28" s="3" t="inlineStr">
        <is>
          <t>A6 요청 — 조직 목표 재정렬 요청 초안
[재정렬 요청]</t>
        </is>
      </c>
      <c r="I28" s="3" t="inlineStr">
        <is>
          <t>조직 목표 재정렬 검토 요청 기록 + 승인·회신 흐름 — 요청 처리 이력 신설 필요</t>
        </is>
      </c>
      <c r="J28" s="14" t="inlineStr">
        <is>
          <t>고유</t>
        </is>
      </c>
    </row>
    <row r="29" ht="46" customHeight="1">
      <c r="B29" s="14" t="n">
        <v>23</v>
      </c>
      <c r="C29" s="3" t="inlineStr">
        <is>
          <t>목표수립-HR경영진-07</t>
        </is>
      </c>
      <c r="D29" s="3" t="inlineStr">
        <is>
          <t>HR·경영진</t>
        </is>
      </c>
      <c r="E29" s="14" t="inlineStr">
        <is>
          <t>T5 상황 변동</t>
        </is>
      </c>
      <c r="F29" s="15" t="inlineStr">
        <is>
          <t>개편 대상 34명 중 6명만 다시 세웠어요</t>
        </is>
      </c>
      <c r="G29" s="3" t="inlineStr">
        <is>
          <t>재수립률이 18%이고 소속이 바뀐 조직은 4곳이에요</t>
        </is>
      </c>
      <c r="H29" s="3" t="inlineStr">
        <is>
          <t>A6 요청 — 재수립 기한 조정 요청 초안
[기한 조정 요청]</t>
        </is>
      </c>
      <c r="I29" s="3" t="inlineStr">
        <is>
          <t>목표 재수립 기한 조정 요청 기록 + 조직별 이행 상태 — 요청 처리 이력 신설 필요</t>
        </is>
      </c>
      <c r="J29" s="14" t="inlineStr">
        <is>
          <t>고유</t>
        </is>
      </c>
    </row>
    <row r="30" ht="20" customHeight="1">
      <c r="B30" s="13" t="inlineStr">
        <is>
          <t xml:space="preserve">  중간점검 단계</t>
        </is>
      </c>
      <c r="C30" s="8" t="n"/>
      <c r="D30" s="8" t="n"/>
      <c r="E30" s="8" t="n"/>
      <c r="F30" s="8" t="n"/>
      <c r="G30" s="8" t="n"/>
      <c r="H30" s="8" t="n"/>
      <c r="I30" s="8" t="n"/>
      <c r="J30" s="9" t="n"/>
    </row>
    <row r="31" ht="46" customHeight="1">
      <c r="B31" s="14" t="n">
        <v>24</v>
      </c>
      <c r="C31" s="3" t="inlineStr">
        <is>
          <t>중간점검-구성원-01</t>
        </is>
      </c>
      <c r="D31" s="3" t="inlineStr">
        <is>
          <t>구성원</t>
        </is>
      </c>
      <c r="E31" s="14" t="inlineStr">
        <is>
          <t>T2 작성 공백</t>
        </is>
      </c>
      <c r="F31" s="15" t="inlineStr">
        <is>
          <t>마지막 체크인 이후 21일이 지났어요</t>
        </is>
      </c>
      <c r="G31" s="3" t="inlineStr">
        <is>
          <t>팀 평균 8일인데 목표 기간은 아직 남아 있어요</t>
        </is>
      </c>
      <c r="H31" s="3" t="inlineStr">
        <is>
          <t>A1 작성 — 체크인 초안
[이대로 체크인]</t>
        </is>
      </c>
      <c r="I31" s="3" t="inlineStr">
        <is>
          <t>체크인 기록 신규 생성</t>
        </is>
      </c>
      <c r="J31" s="14" t="inlineStr">
        <is>
          <t>범용</t>
        </is>
      </c>
    </row>
    <row r="32" ht="46" customHeight="1">
      <c r="B32" s="14" t="n">
        <v>25</v>
      </c>
      <c r="C32" s="3" t="inlineStr">
        <is>
          <t>중간점검-구성원-02</t>
        </is>
      </c>
      <c r="D32" s="3" t="inlineStr">
        <is>
          <t>구성원</t>
        </is>
      </c>
      <c r="E32" s="14" t="inlineStr">
        <is>
          <t>T3 기준 이탈</t>
        </is>
      </c>
      <c r="F32" s="15" t="inlineStr">
        <is>
          <t>기간은 72% 지났는데 진척은 38%예요</t>
        </is>
      </c>
      <c r="G32" s="3" t="inlineStr">
        <is>
          <t>계획보다 34%포인트 뒤처져 있어요</t>
        </is>
      </c>
      <c r="H32" s="3" t="inlineStr">
        <is>
          <t>A1 작성 — 만회 계획 초안
[만회 계획 담아 체크인]</t>
        </is>
      </c>
      <c r="I32" s="3" t="inlineStr">
        <is>
          <t>체크인 기록 신규 생성 (장애요인·만회 계획 포함)</t>
        </is>
      </c>
      <c r="J32" s="14" t="inlineStr">
        <is>
          <t>고유</t>
        </is>
      </c>
    </row>
    <row r="33" ht="46" customHeight="1">
      <c r="B33" s="14" t="n">
        <v>26</v>
      </c>
      <c r="C33" s="3" t="inlineStr">
        <is>
          <t>중간점검-구성원-03</t>
        </is>
      </c>
      <c r="D33" s="3" t="inlineStr">
        <is>
          <t>구성원</t>
        </is>
      </c>
      <c r="E33" s="14" t="inlineStr">
        <is>
          <t>T4 연결 불일치</t>
        </is>
      </c>
      <c r="F33" s="15" t="inlineStr">
        <is>
          <t>체크인 2회 연속 진척이 0%포인트예요</t>
        </is>
      </c>
      <c r="G33" s="3" t="inlineStr">
        <is>
          <t>핵심결과 현재값이 32일째 그대로예요</t>
        </is>
      </c>
      <c r="H33" s="3" t="inlineStr">
        <is>
          <t>A2 수정 — 현재값 수정 초안
[현재값 수정 반영]</t>
        </is>
      </c>
      <c r="I33" s="3" t="inlineStr">
        <is>
          <t>핵심결과 현재값 수정 + 수정 이력, 점검 기록에 사유 추가</t>
        </is>
      </c>
      <c r="J33" s="14" t="inlineStr">
        <is>
          <t>고유</t>
        </is>
      </c>
    </row>
    <row r="34" ht="46" customHeight="1">
      <c r="B34" s="14" t="n">
        <v>27</v>
      </c>
      <c r="C34" s="3" t="inlineStr">
        <is>
          <t>중간점검-구성원-04</t>
        </is>
      </c>
      <c r="D34" s="3" t="inlineStr">
        <is>
          <t>구성원</t>
        </is>
      </c>
      <c r="E34" s="14" t="inlineStr">
        <is>
          <t>T5 상황 변동</t>
        </is>
      </c>
      <c r="F34" s="15" t="inlineStr">
        <is>
          <t>상위 목표 목표값이 150억으로 바뀌었어요</t>
        </is>
      </c>
      <c r="G34" s="3" t="inlineStr">
        <is>
          <t>연결된 내 목표는 그 뒤로 수정되지 않았어요</t>
        </is>
      </c>
      <c r="H34" s="3" t="inlineStr">
        <is>
          <t>A2 수정 — 목표 수정 초안
[이 목표로 수정]</t>
        </is>
      </c>
      <c r="I34" s="3" t="inlineStr">
        <is>
          <t>목표·핵심결과 수정 + 수정 이력 (상위 목표 변경 사유 연결)</t>
        </is>
      </c>
      <c r="J34" s="14" t="inlineStr">
        <is>
          <t>고유</t>
        </is>
      </c>
    </row>
    <row r="35" ht="26" customHeight="1">
      <c r="B35" s="16" t="n">
        <v>28</v>
      </c>
      <c r="C35" s="17" t="inlineStr">
        <is>
          <t>중간점검-구성원-05</t>
        </is>
      </c>
      <c r="D35" s="17" t="inlineStr">
        <is>
          <t>구성원</t>
        </is>
      </c>
      <c r="E35" s="16" t="inlineStr">
        <is>
          <t>T5 상황 변동</t>
        </is>
      </c>
      <c r="F35" s="17" t="inlineStr">
        <is>
          <t>같은 목표를 맡은 동료가 체크인을 올렸어요</t>
        </is>
      </c>
      <c r="G35" s="17" t="inlineStr">
        <is>
          <t>소유자와 작성자 일치율이 5.6%라 채택하지 않았어요</t>
        </is>
      </c>
      <c r="H35" s="17" t="inlineStr">
        <is>
          <t>-</t>
        </is>
      </c>
      <c r="I35" s="17" t="inlineStr">
        <is>
          <t>-</t>
        </is>
      </c>
      <c r="J35" s="16" t="inlineStr">
        <is>
          <t>제외</t>
        </is>
      </c>
    </row>
    <row r="36" ht="46" customHeight="1">
      <c r="B36" s="14" t="n">
        <v>29</v>
      </c>
      <c r="C36" s="3" t="inlineStr">
        <is>
          <t>중간점검-팀장-01</t>
        </is>
      </c>
      <c r="D36" s="3" t="inlineStr">
        <is>
          <t>팀장(1차 평가자)</t>
        </is>
      </c>
      <c r="E36" s="14" t="inlineStr">
        <is>
          <t>T1 기한 도래</t>
        </is>
      </c>
      <c r="F36" s="15" t="inlineStr">
        <is>
          <t>B님 체크인이 마감 사흘 전인데 0건이에요</t>
        </is>
      </c>
      <c r="G36" s="3" t="inlineStr">
        <is>
          <t>팀원 5명 중 4명은 이미 제출했어요</t>
        </is>
      </c>
      <c r="H36" s="3" t="inlineStr">
        <is>
          <t>A3 전달 — 요청 메시지 초안
[요청 메시지 보내기]</t>
        </is>
      </c>
      <c r="I36" s="3" t="inlineStr">
        <is>
          <t>메시지 기록 + 보냄·받음 기록 생성 (알림·메시지 발송·열람 기록 저장 위치 신설 필요)</t>
        </is>
      </c>
      <c r="J36" s="14" t="inlineStr">
        <is>
          <t>범용</t>
        </is>
      </c>
    </row>
    <row r="37" ht="46" customHeight="1">
      <c r="B37" s="14" t="n">
        <v>30</v>
      </c>
      <c r="C37" s="3" t="inlineStr">
        <is>
          <t>중간점검-팀장-02</t>
        </is>
      </c>
      <c r="D37" s="3" t="inlineStr">
        <is>
          <t>팀장(1차 평가자)</t>
        </is>
      </c>
      <c r="E37" s="14" t="inlineStr">
        <is>
          <t>T2 작성 공백</t>
        </is>
      </c>
      <c r="F37" s="15" t="inlineStr">
        <is>
          <t>B님 체크인이 21일째 비어 있어요</t>
        </is>
      </c>
      <c r="G37" s="3" t="inlineStr">
        <is>
          <t>목표 기간이 45일 남았는데 기록이 없어요</t>
        </is>
      </c>
      <c r="H37" s="3" t="inlineStr">
        <is>
          <t>A3 전달 — 요청 메시지 초안
[체크인 요청 보내기]</t>
        </is>
      </c>
      <c r="I37" s="3" t="inlineStr">
        <is>
          <t>메시지 기록 + 보냄·받음 기록 생성 (알림·메시지 발송·열람 기록 저장 위치 신설 필요)</t>
        </is>
      </c>
      <c r="J37" s="14" t="inlineStr">
        <is>
          <t>고유</t>
        </is>
      </c>
    </row>
    <row r="38" ht="46" customHeight="1">
      <c r="B38" s="14" t="n">
        <v>31</v>
      </c>
      <c r="C38" s="3" t="inlineStr">
        <is>
          <t>중간점검-팀장-03</t>
        </is>
      </c>
      <c r="D38" s="3" t="inlineStr">
        <is>
          <t>팀장(1차 평가자)</t>
        </is>
      </c>
      <c r="E38" s="14" t="inlineStr">
        <is>
          <t>T3 기준 이탈</t>
        </is>
      </c>
      <c r="F38" s="15" t="inlineStr">
        <is>
          <t>B님 확신도가 두 번 연속 낮게 왔어요</t>
        </is>
      </c>
      <c r="G38" s="3" t="inlineStr">
        <is>
          <t>그 사이 진척은 0%p에 머물러 있어요</t>
        </is>
      </c>
      <c r="H38" s="3" t="inlineStr">
        <is>
          <t>A4 면담 — 1on1 아젠다 초안
[1on1 일정 잡기]</t>
        </is>
      </c>
      <c r="I38" s="3" t="inlineStr">
        <is>
          <t>일정 생성 + 이야기할 항목 기록(멈춘 핵심결과 2건·필요한 지원·목표값 조정 여부) (1on1 기록 서버 보존 신설 필요)</t>
        </is>
      </c>
      <c r="J38" s="14" t="inlineStr">
        <is>
          <t>고유</t>
        </is>
      </c>
    </row>
    <row r="39" ht="26" customHeight="1">
      <c r="B39" s="16" t="n">
        <v>32</v>
      </c>
      <c r="C39" s="17" t="inlineStr">
        <is>
          <t>중간점검-팀장-04</t>
        </is>
      </c>
      <c r="D39" s="17" t="inlineStr">
        <is>
          <t>팀장(1차 평가자)</t>
        </is>
      </c>
      <c r="E39" s="16" t="inlineStr">
        <is>
          <t>T3 기준 이탈</t>
        </is>
      </c>
      <c r="F39" s="17" t="inlineStr">
        <is>
          <t>B님 체크인에 달린 좋아요가 줄었어요</t>
        </is>
      </c>
      <c r="G39" s="17" t="inlineStr">
        <is>
          <t>좋아요 평균 0.3건이지만 할 행동이 없어 제외했어요</t>
        </is>
      </c>
      <c r="H39" s="17" t="inlineStr">
        <is>
          <t>-</t>
        </is>
      </c>
      <c r="I39" s="17" t="inlineStr">
        <is>
          <t>-</t>
        </is>
      </c>
      <c r="J39" s="16" t="inlineStr">
        <is>
          <t>제외</t>
        </is>
      </c>
    </row>
    <row r="40" ht="46" customHeight="1">
      <c r="B40" s="14" t="n">
        <v>33</v>
      </c>
      <c r="C40" s="3" t="inlineStr">
        <is>
          <t>중간점검-팀장-05</t>
        </is>
      </c>
      <c r="D40" s="3" t="inlineStr">
        <is>
          <t>팀장(1차 평가자)</t>
        </is>
      </c>
      <c r="E40" s="14" t="inlineStr">
        <is>
          <t>T5 상황 변동</t>
        </is>
      </c>
      <c r="F40" s="15" t="inlineStr">
        <is>
          <t>B님 체크인 3회 중 2회에 막힌 일이 있어요</t>
        </is>
      </c>
      <c r="G40" s="3" t="inlineStr">
        <is>
          <t>최근 14일 동안 1on1 기록이 없어요</t>
        </is>
      </c>
      <c r="H40" s="3" t="inlineStr">
        <is>
          <t>A4 면담 — 1on1 아젠다 초안
[1on1 잡기]</t>
        </is>
      </c>
      <c r="I40" s="3" t="inlineStr">
        <is>
          <t>일정 생성 + 이야기할 항목 기록(반복된 장애요인 2건·내가 내려야 할 결정·도와줄 사람) (1on1 기록 서버 보존 신설 필요)</t>
        </is>
      </c>
      <c r="J40" s="14" t="inlineStr">
        <is>
          <t>고유</t>
        </is>
      </c>
    </row>
    <row r="41" ht="46" customHeight="1">
      <c r="B41" s="14" t="n">
        <v>34</v>
      </c>
      <c r="C41" s="3" t="inlineStr">
        <is>
          <t>중간점검-상위조직장-01</t>
        </is>
      </c>
      <c r="D41" s="3" t="inlineStr">
        <is>
          <t>상위 조직장(2차 평가자)</t>
        </is>
      </c>
      <c r="E41" s="14" t="inlineStr">
        <is>
          <t>T1 기한 도래</t>
        </is>
      </c>
      <c r="F41" s="15" t="inlineStr">
        <is>
          <t>마감 사흘 전인데 두 팀이 20% 아래예요</t>
        </is>
      </c>
      <c r="G41" s="3" t="inlineStr">
        <is>
          <t>내 조직 평균 68%와 차이가 커요</t>
        </is>
      </c>
      <c r="H41" s="3" t="inlineStr">
        <is>
          <t>A3 전달 — 마감 안내 초안
[마감 안내 보내기]</t>
        </is>
      </c>
      <c r="I41" s="3" t="inlineStr">
        <is>
          <t>메시지 기록 + 보냄·받음 기록 (알림 이력에 발송 결과 저장 — 서버 보존 신설 필요)</t>
        </is>
      </c>
      <c r="J41" s="14" t="inlineStr">
        <is>
          <t>범용</t>
        </is>
      </c>
    </row>
    <row r="42" ht="46" customHeight="1">
      <c r="B42" s="14" t="n">
        <v>35</v>
      </c>
      <c r="C42" s="3" t="inlineStr">
        <is>
          <t>중간점검-상위조직장-02</t>
        </is>
      </c>
      <c r="D42" s="3" t="inlineStr">
        <is>
          <t>상위 조직장(2차 평가자)</t>
        </is>
      </c>
      <c r="E42" s="14" t="inlineStr">
        <is>
          <t>T2 작성 공백</t>
        </is>
      </c>
      <c r="F42" s="15" t="inlineStr">
        <is>
          <t>D팀 핵심결과 12건 중 9건이 멈췄어요</t>
        </is>
      </c>
      <c r="G42" s="3" t="inlineStr">
        <is>
          <t>이 9건은 마지막 체크인 후 21일이 지났어요</t>
        </is>
      </c>
      <c r="H42" s="3" t="inlineStr">
        <is>
          <t>A4 면담 — 목표 검토 회의 아젠다 초안
[검토 회의 잡기]</t>
        </is>
      </c>
      <c r="I42" s="3" t="inlineStr">
        <is>
          <t>일정 + 이야기할 항목 기록 (1차 평가자 검토 회의 기록 — 서버 보존 신설 필요)</t>
        </is>
      </c>
      <c r="J42" s="14" t="inlineStr">
        <is>
          <t>고유</t>
        </is>
      </c>
    </row>
    <row r="43" ht="46" customHeight="1">
      <c r="B43" s="14" t="n">
        <v>36</v>
      </c>
      <c r="C43" s="3" t="inlineStr">
        <is>
          <t>중간점검-상위조직장-03</t>
        </is>
      </c>
      <c r="D43" s="3" t="inlineStr">
        <is>
          <t>상위 조직장(2차 평가자)</t>
        </is>
      </c>
      <c r="E43" s="14" t="inlineStr">
        <is>
          <t>T3 기준 이탈</t>
        </is>
      </c>
      <c r="F43" s="15" t="inlineStr">
        <is>
          <t>팀 사이 진척 격차가 37%p로 벌어졌어요</t>
        </is>
      </c>
      <c r="G43" s="3" t="inlineStr">
        <is>
          <t>가장 낮은 팀은 기대 진척 60%에 못 미쳐요</t>
        </is>
      </c>
      <c r="H43" s="3" t="inlineStr">
        <is>
          <t>A6 요청 — 목표 재조정 요청 초안
[재조정 요청하기]</t>
        </is>
      </c>
      <c r="I43" s="3" t="inlineStr">
        <is>
          <t>요청 기록 + 승인 흐름 (목표 재조정 요청 이력 저장 위치 신설 필요)</t>
        </is>
      </c>
      <c r="J43" s="14" t="inlineStr">
        <is>
          <t>고유</t>
        </is>
      </c>
    </row>
    <row r="44" ht="46" customHeight="1">
      <c r="B44" s="14" t="n">
        <v>37</v>
      </c>
      <c r="C44" s="3" t="inlineStr">
        <is>
          <t>중간점검-상위조직장-04</t>
        </is>
      </c>
      <c r="D44" s="3" t="inlineStr">
        <is>
          <t>상위 조직장(2차 평가자)</t>
        </is>
      </c>
      <c r="E44" s="14" t="inlineStr">
        <is>
          <t>T4 연결 불일치</t>
        </is>
      </c>
      <c r="F44" s="15" t="inlineStr">
        <is>
          <t>하위 팀은 올랐는데 조직 목표는 +2%p예요</t>
        </is>
      </c>
      <c r="G44" s="3" t="inlineStr">
        <is>
          <t>팀 평균은 +18%p인데 상위 지표는 그대로예요</t>
        </is>
      </c>
      <c r="H44" s="3" t="inlineStr">
        <is>
          <t>A4 면담 — 목표 검토 회의 아젠다 초안
[목표 검토 회의 잡기]</t>
        </is>
      </c>
      <c r="I44" s="3" t="inlineStr">
        <is>
          <t>일정 + 이야기할 항목 기록 (목표 검토 회의 기록 — 서버 보존 신설 필요)</t>
        </is>
      </c>
      <c r="J44" s="14" t="inlineStr">
        <is>
          <t>고유</t>
        </is>
      </c>
    </row>
    <row r="45" ht="46" customHeight="1">
      <c r="B45" s="14" t="n">
        <v>38</v>
      </c>
      <c r="C45" s="3" t="inlineStr">
        <is>
          <t>중간점검-상위조직장-05</t>
        </is>
      </c>
      <c r="D45" s="3" t="inlineStr">
        <is>
          <t>상위 조직장(2차 평가자)</t>
        </is>
      </c>
      <c r="E45" s="14" t="inlineStr">
        <is>
          <t>T5 상황 변동</t>
        </is>
      </c>
      <c r="F45" s="15" t="inlineStr">
        <is>
          <t>세 팀에서 같은 장애요인이 7건 반복됐어요</t>
        </is>
      </c>
      <c r="G45" s="3" t="inlineStr">
        <is>
          <t>직전 14일에는 1건뿐이던 항목이에요</t>
        </is>
      </c>
      <c r="H45" s="3" t="inlineStr">
        <is>
          <t>A6 요청 — 장애요인 해소 요청 초안
[해소 요청하기]</t>
        </is>
      </c>
      <c r="I45" s="3" t="inlineStr">
        <is>
          <t>요청 기록 + 승인 흐름 (장애요인 해소 요청 이력 저장 위치 신설 필요)</t>
        </is>
      </c>
      <c r="J45" s="14" t="inlineStr">
        <is>
          <t>고유</t>
        </is>
      </c>
    </row>
    <row r="46" ht="46" customHeight="1">
      <c r="B46" s="14" t="n">
        <v>39</v>
      </c>
      <c r="C46" s="3" t="inlineStr">
        <is>
          <t>중간점검-HR경영진-01</t>
        </is>
      </c>
      <c r="D46" s="3" t="inlineStr">
        <is>
          <t>HR·경영진</t>
        </is>
      </c>
      <c r="E46" s="14" t="inlineStr">
        <is>
          <t>T1 기한 도래</t>
        </is>
      </c>
      <c r="F46" s="15" t="inlineStr">
        <is>
          <t>기간은 절반 지났는데 참여율은 41%예요</t>
        </is>
      </c>
      <c r="G46" s="3" t="inlineStr">
        <is>
          <t>체크인이 한 건도 없는 조직이 7곳이에요</t>
        </is>
      </c>
      <c r="H46" s="3" t="inlineStr">
        <is>
          <t>A3 전달 — 참여 독려 안내 초안
[참여 독려 보내기]</t>
        </is>
      </c>
      <c r="I46" s="3" t="inlineStr">
        <is>
          <t>참여 독려 메시지 발송 기록(보냄·받음) + 조직별 참여율 갱신 — 알림 발송 기록 신설 필요</t>
        </is>
      </c>
      <c r="J46" s="14" t="inlineStr">
        <is>
          <t>범용</t>
        </is>
      </c>
    </row>
    <row r="47" ht="46" customHeight="1">
      <c r="B47" s="14" t="n">
        <v>40</v>
      </c>
      <c r="C47" s="3" t="inlineStr">
        <is>
          <t>중간점검-HR경영진-02</t>
        </is>
      </c>
      <c r="D47" s="3" t="inlineStr">
        <is>
          <t>HR·경영진</t>
        </is>
      </c>
      <c r="E47" s="14" t="inlineStr">
        <is>
          <t>T3 기준 이탈</t>
        </is>
      </c>
      <c r="F47" s="15" t="inlineStr">
        <is>
          <t>두 조직 진척이 기간보다 34%p 낮아요</t>
        </is>
      </c>
      <c r="G47" s="3" t="inlineStr">
        <is>
          <t>전사 격차 9%p와 견주면 크게 벌어져 있어요</t>
        </is>
      </c>
      <c r="H47" s="3" t="inlineStr">
        <is>
          <t>A3 전달 — 보완 안내 초안
[보완 안내 보내기]</t>
        </is>
      </c>
      <c r="I47" s="3" t="inlineStr">
        <is>
          <t>안내 메시지 발송 기록(보냄·받음) + 조직별 보완 계획 회신 상태 — 알림 발송 기록 신설 필요</t>
        </is>
      </c>
      <c r="J47" s="14" t="inlineStr">
        <is>
          <t>고유</t>
        </is>
      </c>
    </row>
    <row r="48" ht="46" customHeight="1">
      <c r="B48" s="14" t="n">
        <v>41</v>
      </c>
      <c r="C48" s="3" t="inlineStr">
        <is>
          <t>중간점검-HR경영진-03</t>
        </is>
      </c>
      <c r="D48" s="3" t="inlineStr">
        <is>
          <t>HR·경영진</t>
        </is>
      </c>
      <c r="E48" s="14" t="inlineStr">
        <is>
          <t>T3 기준 이탈</t>
        </is>
      </c>
      <c r="F48" s="15" t="inlineStr">
        <is>
          <t>한 본부 진척이 8주째 +2%p에 그쳤어요</t>
        </is>
      </c>
      <c r="G48" s="3" t="inlineStr">
        <is>
          <t>협조 유형 장애요인이 9건 쌓여 있어요</t>
        </is>
      </c>
      <c r="H48" s="3" t="inlineStr">
        <is>
          <t>A6 요청 — 인력·자원 재배분 검토 요청 초안
[재배분 검토 요청]</t>
        </is>
      </c>
      <c r="I48" s="3" t="inlineStr">
        <is>
          <t>인력·자원 재배분 검토 요청 기록 + 승인·회신 흐름 — 요청 처리 이력 신설 필요</t>
        </is>
      </c>
      <c r="J48" s="14" t="inlineStr">
        <is>
          <t>고유</t>
        </is>
      </c>
    </row>
    <row r="49" ht="46" customHeight="1">
      <c r="B49" s="14" t="n">
        <v>42</v>
      </c>
      <c r="C49" s="3" t="inlineStr">
        <is>
          <t>중간점검-HR경영진-04</t>
        </is>
      </c>
      <c r="D49" s="3" t="inlineStr">
        <is>
          <t>HR·경영진</t>
        </is>
      </c>
      <c r="E49" s="14" t="inlineStr">
        <is>
          <t>T4 연결 불일치</t>
        </is>
      </c>
      <c r="F49" s="15" t="inlineStr">
        <is>
          <t>세 조직에서 상위 목표만 +1%p에 머물러요</t>
        </is>
      </c>
      <c r="G49" s="3" t="inlineStr">
        <is>
          <t>하위 핵심결과는 4주간 +18%p 올랐어요</t>
        </is>
      </c>
      <c r="H49" s="3" t="inlineStr">
        <is>
          <t>A6 요청 — 목표 구조 재정비 요청 초안
[재정비 요청하기]</t>
        </is>
      </c>
      <c r="I49" s="3" t="inlineStr">
        <is>
          <t>목표 구조 재정비 요청 기록 + 조직별 반영 상태와 수정 이력 — 요청 처리 이력 신설 필요</t>
        </is>
      </c>
      <c r="J49" s="14" t="inlineStr">
        <is>
          <t>고유</t>
        </is>
      </c>
    </row>
    <row r="50" ht="20" customHeight="1">
      <c r="B50" s="13" t="inlineStr">
        <is>
          <t xml:space="preserve">  평가 단계</t>
        </is>
      </c>
      <c r="C50" s="8" t="n"/>
      <c r="D50" s="8" t="n"/>
      <c r="E50" s="8" t="n"/>
      <c r="F50" s="8" t="n"/>
      <c r="G50" s="8" t="n"/>
      <c r="H50" s="8" t="n"/>
      <c r="I50" s="8" t="n"/>
      <c r="J50" s="9" t="n"/>
    </row>
    <row r="51" ht="46" customHeight="1">
      <c r="B51" s="14" t="n">
        <v>43</v>
      </c>
      <c r="C51" s="3" t="inlineStr">
        <is>
          <t>평가-구성원-01</t>
        </is>
      </c>
      <c r="D51" s="3" t="inlineStr">
        <is>
          <t>구성원</t>
        </is>
      </c>
      <c r="E51" s="14" t="inlineStr">
        <is>
          <t>T1 기한 도래</t>
        </is>
      </c>
      <c r="F51" s="15" t="inlineStr">
        <is>
          <t>자기평가 제출까지 5일 남았어요</t>
        </is>
      </c>
      <c r="G51" s="3" t="inlineStr">
        <is>
          <t>아직 제출 기록이 없어 마감 전 작성이 필요해요</t>
        </is>
      </c>
      <c r="H51" s="3" t="inlineStr">
        <is>
          <t>A1 작성 — 자기평가 초안
[자기평가 등록]</t>
        </is>
      </c>
      <c r="I51" s="3" t="inlineStr">
        <is>
          <t>자기평가 기록 신규 생성 (저장 위치 신설 필요)</t>
        </is>
      </c>
      <c r="J51" s="14" t="inlineStr">
        <is>
          <t>범용</t>
        </is>
      </c>
    </row>
    <row r="52" ht="46" customHeight="1">
      <c r="B52" s="14" t="n">
        <v>44</v>
      </c>
      <c r="C52" s="3" t="inlineStr">
        <is>
          <t>평가-구성원-02</t>
        </is>
      </c>
      <c r="D52" s="3" t="inlineStr">
        <is>
          <t>구성원</t>
        </is>
      </c>
      <c r="E52" s="14" t="inlineStr">
        <is>
          <t>T2 작성 공백</t>
        </is>
      </c>
      <c r="F52" s="15" t="inlineStr">
        <is>
          <t>이번 기간 체크인이 1건에 그쳤어요</t>
        </is>
      </c>
      <c r="G52" s="3" t="inlineStr">
        <is>
          <t>팀 평균은 6건인데 평가에 쓸 기록이 적어요</t>
        </is>
      </c>
      <c r="H52" s="3" t="inlineStr">
        <is>
          <t>A1 작성 — 체크인 초안
[이대로 체크인]</t>
        </is>
      </c>
      <c r="I52" s="3" t="inlineStr">
        <is>
          <t>체크인 기록 신규 생성</t>
        </is>
      </c>
      <c r="J52" s="14" t="inlineStr">
        <is>
          <t>고유</t>
        </is>
      </c>
    </row>
    <row r="53" ht="26" customHeight="1">
      <c r="B53" s="16" t="n">
        <v>45</v>
      </c>
      <c r="C53" s="17" t="inlineStr">
        <is>
          <t>평가-구성원-03</t>
        </is>
      </c>
      <c r="D53" s="17" t="inlineStr">
        <is>
          <t>구성원</t>
        </is>
      </c>
      <c r="E53" s="16" t="inlineStr">
        <is>
          <t>T3 기준 이탈</t>
        </is>
      </c>
      <c r="F53" s="17" t="inlineStr">
        <is>
          <t>내 종합점수가 팀 평균보다 낮아요</t>
        </is>
      </c>
      <c r="G53" s="17" t="inlineStr">
        <is>
          <t>확정 전 점수와 팀 평균은 본인에게 보여드리지 않아요</t>
        </is>
      </c>
      <c r="H53" s="17" t="inlineStr">
        <is>
          <t>-</t>
        </is>
      </c>
      <c r="I53" s="17" t="inlineStr">
        <is>
          <t>-</t>
        </is>
      </c>
      <c r="J53" s="16" t="inlineStr">
        <is>
          <t>제외</t>
        </is>
      </c>
    </row>
    <row r="54" ht="46" customHeight="1">
      <c r="B54" s="14" t="n">
        <v>46</v>
      </c>
      <c r="C54" s="3" t="inlineStr">
        <is>
          <t>평가-구성원-04</t>
        </is>
      </c>
      <c r="D54" s="3" t="inlineStr">
        <is>
          <t>구성원</t>
        </is>
      </c>
      <c r="E54" s="14" t="inlineStr">
        <is>
          <t>T4 연결 불일치</t>
        </is>
      </c>
      <c r="F54" s="15" t="inlineStr">
        <is>
          <t>자기평가와 진척률 54%가 서로 달라요</t>
        </is>
      </c>
      <c r="G54" s="3" t="inlineStr">
        <is>
          <t>초과 달성으로 적었는데 실제 진척은 54%예요</t>
        </is>
      </c>
      <c r="H54" s="3" t="inlineStr">
        <is>
          <t>A2 수정 — 자기평가 수정 초안
[자기평가 수정]</t>
        </is>
      </c>
      <c r="I54" s="3" t="inlineStr">
        <is>
          <t>자기평가 기록 수정 + 수정 이력 (저장 위치 신설 필요)</t>
        </is>
      </c>
      <c r="J54" s="14" t="inlineStr">
        <is>
          <t>고유</t>
        </is>
      </c>
    </row>
    <row r="55" ht="46" customHeight="1">
      <c r="B55" s="14" t="n">
        <v>47</v>
      </c>
      <c r="C55" s="3" t="inlineStr">
        <is>
          <t>평가-구성원-05</t>
        </is>
      </c>
      <c r="D55" s="3" t="inlineStr">
        <is>
          <t>구성원</t>
        </is>
      </c>
      <c r="E55" s="14" t="inlineStr">
        <is>
          <t>T5 상황 변동</t>
        </is>
      </c>
      <c r="F55" s="15" t="inlineStr">
        <is>
          <t>평가 기간의 67%를 이전 조직에서 보냈어요</t>
        </is>
      </c>
      <c r="G55" s="3" t="inlineStr">
        <is>
          <t>7월 1일 이동으로 1차 평가자가 바뀌었어요</t>
        </is>
      </c>
      <c r="H55" s="3" t="inlineStr">
        <is>
          <t>A3 전달 — 성과 요약 전달 초안
[요약 보내기]</t>
        </is>
      </c>
      <c r="I55" s="3" t="inlineStr">
        <is>
          <t>메시지 기록 + 보냄·받음 기록, 평가 참고 자료로 첨부</t>
        </is>
      </c>
      <c r="J55" s="14" t="inlineStr">
        <is>
          <t>고유</t>
        </is>
      </c>
    </row>
    <row r="56" ht="46" customHeight="1">
      <c r="B56" s="14" t="n">
        <v>48</v>
      </c>
      <c r="C56" s="3" t="inlineStr">
        <is>
          <t>평가-팀장-01</t>
        </is>
      </c>
      <c r="D56" s="3" t="inlineStr">
        <is>
          <t>팀장(1차 평가자)</t>
        </is>
      </c>
      <c r="E56" s="14" t="inlineStr">
        <is>
          <t>T1 기한 도래</t>
        </is>
      </c>
      <c r="F56" s="15" t="inlineStr">
        <is>
          <t>B님 1차 평가 마감이 사흘 남았어요</t>
        </is>
      </c>
      <c r="G56" s="3" t="inlineStr">
        <is>
          <t>팀원 5명 중 3명은 끝났고 B님만 남았어요</t>
        </is>
      </c>
      <c r="H56" s="3" t="inlineStr">
        <is>
          <t>A1 작성 — 1차 평가 초안
[1차 평가 저장]</t>
        </is>
      </c>
      <c r="I56" s="3" t="inlineStr">
        <is>
          <t>그 팀원의 1차 평가 기록 신규 생성(초안 상태) + 근거 요약문 저장</t>
        </is>
      </c>
      <c r="J56" s="14" t="inlineStr">
        <is>
          <t>범용</t>
        </is>
      </c>
    </row>
    <row r="57" ht="46" customHeight="1">
      <c r="B57" s="14" t="n">
        <v>49</v>
      </c>
      <c r="C57" s="3" t="inlineStr">
        <is>
          <t>평가-팀장-02</t>
        </is>
      </c>
      <c r="D57" s="3" t="inlineStr">
        <is>
          <t>팀장(1차 평가자)</t>
        </is>
      </c>
      <c r="E57" s="14" t="inlineStr">
        <is>
          <t>T3 기준 이탈</t>
        </is>
      </c>
      <c r="F57" s="15" t="inlineStr">
        <is>
          <t>B님 체크인이 2건에 머물러 있어요</t>
        </is>
      </c>
      <c r="G57" s="3" t="inlineStr">
        <is>
          <t>팀 평균 9건인데 마감까지 열흘 남았어요</t>
        </is>
      </c>
      <c r="H57" s="3" t="inlineStr">
        <is>
          <t>A3 전달 — 기록 요청 초안
[요청 보내기]</t>
        </is>
      </c>
      <c r="I57" s="3" t="inlineStr">
        <is>
          <t>메시지 기록 + 보냄·받음 기록 생성 (알림·메시지 발송·열람 기록 저장 위치 신설 필요)</t>
        </is>
      </c>
      <c r="J57" s="14" t="inlineStr">
        <is>
          <t>고유</t>
        </is>
      </c>
    </row>
    <row r="58" ht="46" customHeight="1">
      <c r="B58" s="14" t="n">
        <v>50</v>
      </c>
      <c r="C58" s="3" t="inlineStr">
        <is>
          <t>평가-팀장-03</t>
        </is>
      </c>
      <c r="D58" s="3" t="inlineStr">
        <is>
          <t>팀장(1차 평가자)</t>
        </is>
      </c>
      <c r="E58" s="14" t="inlineStr">
        <is>
          <t>T4 연결 불일치</t>
        </is>
      </c>
      <c r="F58" s="15" t="inlineStr">
        <is>
          <t>B님 A등급인데 달성률은 52%예요</t>
        </is>
      </c>
      <c r="G58" s="3" t="inlineStr">
        <is>
          <t>같은 팀 A등급 평균 달성률은 84%예요</t>
        </is>
      </c>
      <c r="H58" s="3" t="inlineStr">
        <is>
          <t>A2 수정 — 평가 근거 보완 초안
[근거 보완 저장]</t>
        </is>
      </c>
      <c r="I58" s="3" t="inlineStr">
        <is>
          <t>그 팀원 1차 평가의 근거 요약문·등급 수정 + 수정 이력 기록 (평가 수정 이력 저장 위치 신설 필요)</t>
        </is>
      </c>
      <c r="J58" s="14" t="inlineStr">
        <is>
          <t>고유</t>
        </is>
      </c>
    </row>
    <row r="59" ht="46" customHeight="1">
      <c r="B59" s="14" t="n">
        <v>51</v>
      </c>
      <c r="C59" s="3" t="inlineStr">
        <is>
          <t>평가-팀장-04</t>
        </is>
      </c>
      <c r="D59" s="3" t="inlineStr">
        <is>
          <t>팀장(1차 평가자)</t>
        </is>
      </c>
      <c r="E59" s="14" t="inlineStr">
        <is>
          <t>T5 상황 변동</t>
        </is>
      </c>
      <c r="F59" s="15" t="inlineStr">
        <is>
          <t>C님 근거 4개월치가 이전 조직에 있어요</t>
        </is>
      </c>
      <c r="G59" s="3" t="inlineStr">
        <is>
          <t>6개월 중 4개월이 이전 조직 소속이었어요</t>
        </is>
      </c>
      <c r="H59" s="3" t="inlineStr">
        <is>
          <t>A3 전달 — 근거 요청 초안
[근거 요청 보내기]</t>
        </is>
      </c>
      <c r="I59" s="3" t="inlineStr">
        <is>
          <t>요청 메시지 기록 + 받은 근거를 그 팀원 평가에 붙여 두기 (평가에 외부 근거를 붙이는 저장 위치 신설 필요)</t>
        </is>
      </c>
      <c r="J59" s="14" t="inlineStr">
        <is>
          <t>고유</t>
        </is>
      </c>
    </row>
    <row r="60" ht="46" customHeight="1">
      <c r="B60" s="14" t="n">
        <v>52</v>
      </c>
      <c r="C60" s="3" t="inlineStr">
        <is>
          <t>평가-상위조직장-01</t>
        </is>
      </c>
      <c r="D60" s="3" t="inlineStr">
        <is>
          <t>상위 조직장(2차 평가자)</t>
        </is>
      </c>
      <c r="E60" s="14" t="inlineStr">
        <is>
          <t>T1 기한 도래</t>
        </is>
      </c>
      <c r="F60" s="15" t="inlineStr">
        <is>
          <t>하위 2개 팀 1차 평가 제출률이 0%예요</t>
        </is>
      </c>
      <c r="G60" s="3" t="inlineStr">
        <is>
          <t>마감이 이틀 남았는데 조직 평균은 74%예요</t>
        </is>
      </c>
      <c r="H60" s="3" t="inlineStr">
        <is>
          <t>A3 전달 — 마감 안내 초안
[안내 보내기]</t>
        </is>
      </c>
      <c r="I60" s="3" t="inlineStr">
        <is>
          <t>메시지 기록 + 보냄·받음 기록 (알림 이력에 발송 결과 저장 — 서버 보존 신설 필요)</t>
        </is>
      </c>
      <c r="J60" s="14" t="inlineStr">
        <is>
          <t>범용</t>
        </is>
      </c>
    </row>
    <row r="61" ht="46" customHeight="1">
      <c r="B61" s="14" t="n">
        <v>53</v>
      </c>
      <c r="C61" s="3" t="inlineStr">
        <is>
          <t>평가-상위조직장-02</t>
        </is>
      </c>
      <c r="D61" s="3" t="inlineStr">
        <is>
          <t>상위 조직장(2차 평가자)</t>
        </is>
      </c>
      <c r="E61" s="14" t="inlineStr">
        <is>
          <t>T2 작성 공백</t>
        </is>
      </c>
      <c r="F61" s="15" t="inlineStr">
        <is>
          <t>E팀장 평가 11건 중 8건 근거가 짧아요</t>
        </is>
      </c>
      <c r="G61" s="3" t="inlineStr">
        <is>
          <t>내 조직 평균 근거 길이는 180자예요</t>
        </is>
      </c>
      <c r="H61" s="3" t="inlineStr">
        <is>
          <t>A6 요청 — 근거 보완 요청 초안
[보완 요청하기]</t>
        </is>
      </c>
      <c r="I61" s="3" t="inlineStr">
        <is>
          <t>요청 기록 + 승인 흐름 (평가 재작성 요청 이력 저장 위치 신설 필요)</t>
        </is>
      </c>
      <c r="J61" s="14" t="inlineStr">
        <is>
          <t>고유</t>
        </is>
      </c>
    </row>
    <row r="62" ht="46" customHeight="1">
      <c r="B62" s="14" t="n">
        <v>54</v>
      </c>
      <c r="C62" s="3" t="inlineStr">
        <is>
          <t>평가-상위조직장-03</t>
        </is>
      </c>
      <c r="D62" s="3" t="inlineStr">
        <is>
          <t>상위 조직장(2차 평가자)</t>
        </is>
      </c>
      <c r="E62" s="14" t="inlineStr">
        <is>
          <t>T3 기준 이탈</t>
        </is>
      </c>
      <c r="F62" s="15" t="inlineStr">
        <is>
          <t>F팀장 상위 등급이 82%로 쏠려 있어요</t>
        </is>
      </c>
      <c r="G62" s="3" t="inlineStr">
        <is>
          <t>제도 권고 상한은 50%, 조직 평균은 41%예요</t>
        </is>
      </c>
      <c r="H62" s="3" t="inlineStr">
        <is>
          <t>A4 면담 — 등급 조정 회의(calibration) 아젠다 초안
[조정 회의 잡기]</t>
        </is>
      </c>
      <c r="I62" s="3" t="inlineStr">
        <is>
          <t>일정 + 이야기할 항목 기록 (등급 조정 회의 기록 — 저장 위치 신설 필요)</t>
        </is>
      </c>
      <c r="J62" s="14" t="inlineStr">
        <is>
          <t>고유</t>
        </is>
      </c>
    </row>
    <row r="63" ht="46" customHeight="1">
      <c r="B63" s="14" t="n">
        <v>55</v>
      </c>
      <c r="C63" s="3" t="inlineStr">
        <is>
          <t>평가-상위조직장-04</t>
        </is>
      </c>
      <c r="D63" s="3" t="inlineStr">
        <is>
          <t>상위 조직장(2차 평가자)</t>
        </is>
      </c>
      <c r="E63" s="14" t="inlineStr">
        <is>
          <t>T4 연결 불일치</t>
        </is>
      </c>
      <c r="F63" s="15" t="inlineStr">
        <is>
          <t>S등급 3건이 조직 중위값 아래에 있어요</t>
        </is>
      </c>
      <c r="G63" s="3" t="inlineStr">
        <is>
          <t>평균 대비 14점 낮은데 등급은 상위예요</t>
        </is>
      </c>
      <c r="H63" s="3" t="inlineStr">
        <is>
          <t>A6 요청 — 재검토 요청 초안
[재검토 요청하기]</t>
        </is>
      </c>
      <c r="I63" s="3" t="inlineStr">
        <is>
          <t>요청 기록 + 승인 흐름 (평가 재검토 요청 이력 저장 위치 신설 필요)</t>
        </is>
      </c>
      <c r="J63" s="14" t="inlineStr">
        <is>
          <t>고유</t>
        </is>
      </c>
    </row>
    <row r="64" ht="46" customHeight="1">
      <c r="B64" s="14" t="n">
        <v>56</v>
      </c>
      <c r="C64" s="3" t="inlineStr">
        <is>
          <t>평가-상위조직장-05</t>
        </is>
      </c>
      <c r="D64" s="3" t="inlineStr">
        <is>
          <t>상위 조직장(2차 평가자)</t>
        </is>
      </c>
      <c r="E64" s="14" t="inlineStr">
        <is>
          <t>T5 상황 변동</t>
        </is>
      </c>
      <c r="F64" s="15" t="inlineStr">
        <is>
          <t>G팀장이 제출 뒤 등급 2건을 바꿨어요</t>
        </is>
      </c>
      <c r="G64" s="3" t="inlineStr">
        <is>
          <t>B에서 A로 올린 2건에 사유 기록이 없어요</t>
        </is>
      </c>
      <c r="H64" s="3" t="inlineStr">
        <is>
          <t>A6 요청 — 사유 기록 요청 초안
[사유 기록 요청]</t>
        </is>
      </c>
      <c r="I64" s="3" t="inlineStr">
        <is>
          <t>요청 기록 + 승인 흐름 (등급 변경 승인·사유 기록 저장 위치 신설 필요)</t>
        </is>
      </c>
      <c r="J64" s="14" t="inlineStr">
        <is>
          <t>고유</t>
        </is>
      </c>
    </row>
    <row r="65" ht="46" customHeight="1">
      <c r="B65" s="14" t="n">
        <v>57</v>
      </c>
      <c r="C65" s="3" t="inlineStr">
        <is>
          <t>평가-HR경영진-01</t>
        </is>
      </c>
      <c r="D65" s="3" t="inlineStr">
        <is>
          <t>HR·경영진</t>
        </is>
      </c>
      <c r="E65" s="14" t="inlineStr">
        <is>
          <t>T1 기한 도래</t>
        </is>
      </c>
      <c r="F65" s="15" t="inlineStr">
        <is>
          <t>전사 1차 평가 제출률이 52%예요</t>
        </is>
      </c>
      <c r="G65" s="3" t="inlineStr">
        <is>
          <t>마감 이틀 전 제도 기준은 85%예요</t>
        </is>
      </c>
      <c r="H65" s="3" t="inlineStr">
        <is>
          <t>A3 전달 — 조직별 마감 안내 초안
[안내 발송하기]</t>
        </is>
      </c>
      <c r="I65" s="3" t="inlineStr">
        <is>
          <t>마감 안내 메시지 발송 기록(보냄·받음) + 조직별 제출률 갱신 — 알림 발송 기록 신설 필요</t>
        </is>
      </c>
      <c r="J65" s="14" t="inlineStr">
        <is>
          <t>범용</t>
        </is>
      </c>
    </row>
    <row r="66" ht="46" customHeight="1">
      <c r="B66" s="14" t="n">
        <v>58</v>
      </c>
      <c r="C66" s="3" t="inlineStr">
        <is>
          <t>평가-HR경영진-02</t>
        </is>
      </c>
      <c r="D66" s="3" t="inlineStr">
        <is>
          <t>HR·경영진</t>
        </is>
      </c>
      <c r="E66" s="14" t="inlineStr">
        <is>
          <t>T2 작성 공백</t>
        </is>
      </c>
      <c r="F66" s="15" t="inlineStr">
        <is>
          <t>3개 조직 평가 근거가 평균 42자예요</t>
        </is>
      </c>
      <c r="G66" s="3" t="inlineStr">
        <is>
          <t>제도 기준은 200자, 전사 평균은 260자예요</t>
        </is>
      </c>
      <c r="H66" s="3" t="inlineStr">
        <is>
          <t>A6 요청 — 조직별 근거 보완 요청 초안
[보완 요청 발송]</t>
        </is>
      </c>
      <c r="I66" s="3" t="inlineStr">
        <is>
          <t>평가 근거 보완 요청 기록 + 조직별 보완 이행 상태 — 요청 처리 이력 신설 필요</t>
        </is>
      </c>
      <c r="J66" s="14" t="inlineStr">
        <is>
          <t>고유</t>
        </is>
      </c>
    </row>
    <row r="67" ht="46" customHeight="1">
      <c r="B67" s="14" t="n">
        <v>59</v>
      </c>
      <c r="C67" s="3" t="inlineStr">
        <is>
          <t>평가-HR경영진-03</t>
        </is>
      </c>
      <c r="D67" s="3" t="inlineStr">
        <is>
          <t>HR·경영진</t>
        </is>
      </c>
      <c r="E67" s="14" t="inlineStr">
        <is>
          <t>T3 기준 이탈</t>
        </is>
      </c>
      <c r="F67" s="15" t="inlineStr">
        <is>
          <t>B조직 상위 등급 비중이 61%예요</t>
        </is>
      </c>
      <c r="G67" s="3" t="inlineStr">
        <is>
          <t>제도 가이드라인은 30%, 전사는 28%예요</t>
        </is>
      </c>
      <c r="H67" s="3" t="inlineStr">
        <is>
          <t>A6 요청 — 등급 조정 회의 소집 초안
[조정 회의 소집]</t>
        </is>
      </c>
      <c r="I67" s="3" t="inlineStr">
        <is>
          <t>등급 조정 회의 소집 요청 기록 + 대상 조직 목록 + 조정 결과와 등급 변경 이력 — 조정 이력·회의 기록 저장 위치 신설 필요</t>
        </is>
      </c>
      <c r="J67" s="14" t="inlineStr">
        <is>
          <t>고유</t>
        </is>
      </c>
    </row>
    <row r="68" ht="46" customHeight="1">
      <c r="B68" s="14" t="n">
        <v>60</v>
      </c>
      <c r="C68" s="3" t="inlineStr">
        <is>
          <t>평가-HR경영진-04</t>
        </is>
      </c>
      <c r="D68" s="3" t="inlineStr">
        <is>
          <t>HR·경영진</t>
        </is>
      </c>
      <c r="E68" s="14" t="inlineStr">
        <is>
          <t>T3 기준 이탈</t>
        </is>
      </c>
      <c r="F68" s="15" t="inlineStr">
        <is>
          <t>조직 간 상위 등급 격차가 47%포인트예요</t>
        </is>
      </c>
      <c r="G68" s="3" t="inlineStr">
        <is>
          <t>같은 점수 구간에서 등급이 갈린 사람이 14명이에요</t>
        </is>
      </c>
      <c r="H68" s="3" t="inlineStr">
        <is>
          <t>A3 전달 — 본부 재검토 요청 초안
[재검토 요청 발송]</t>
        </is>
      </c>
      <c r="I68" s="3" t="inlineStr">
        <is>
          <t>재검토 요청 메시지 발송 기록(보냄·받음) + 본부별 회신 상태 — 알림 발송 기록 신설 필요</t>
        </is>
      </c>
      <c r="J68" s="14" t="inlineStr">
        <is>
          <t>고유</t>
        </is>
      </c>
    </row>
    <row r="69" ht="46" customHeight="1">
      <c r="B69" s="14" t="n">
        <v>61</v>
      </c>
      <c r="C69" s="3" t="inlineStr">
        <is>
          <t>평가-HR경영진-05</t>
        </is>
      </c>
      <c r="D69" s="3" t="inlineStr">
        <is>
          <t>HR·경영진</t>
        </is>
      </c>
      <c r="E69" s="14" t="inlineStr">
        <is>
          <t>T4 연결 불일치</t>
        </is>
      </c>
      <c r="F69" s="15" t="inlineStr">
        <is>
          <t>C조직 진척 46%에 상위 등급 55%예요</t>
        </is>
      </c>
      <c r="G69" s="3" t="inlineStr">
        <is>
          <t>전사는 진척 78%에 상위 등급 28%예요</t>
        </is>
      </c>
      <c r="H69" s="3" t="inlineStr">
        <is>
          <t>A6 요청 — 평가 결과 재검토 요청 초안
[결과 재검토 요청]</t>
        </is>
      </c>
      <c r="I69" s="3" t="inlineStr">
        <is>
          <t>평가 재검토 요청 기록 + 재검토 결과와 등급 변경 이력 — 조정 이력 저장 위치 신설 필요</t>
        </is>
      </c>
      <c r="J69" s="14" t="inlineStr">
        <is>
          <t>고유</t>
        </is>
      </c>
    </row>
    <row r="70" ht="46" customHeight="1">
      <c r="B70" s="14" t="n">
        <v>62</v>
      </c>
      <c r="C70" s="3" t="inlineStr">
        <is>
          <t>평가-HR경영진-06</t>
        </is>
      </c>
      <c r="D70" s="3" t="inlineStr">
        <is>
          <t>HR·경영진</t>
        </is>
      </c>
      <c r="E70" s="14" t="inlineStr">
        <is>
          <t>T5 상황 변동</t>
        </is>
      </c>
      <c r="F70" s="15" t="inlineStr">
        <is>
          <t>발령 17명 중 11명에 평가자가 없어요</t>
        </is>
      </c>
      <c r="G70" s="3" t="inlineStr">
        <is>
          <t>평가 기간 중 이동인데 65%가 미지정이에요</t>
        </is>
      </c>
      <c r="H70" s="3" t="inlineStr">
        <is>
          <t>A6 요청 — 평가자 지정 요청 초안
[평가자 지정 요청]</t>
        </is>
      </c>
      <c r="I70" s="3" t="inlineStr">
        <is>
          <t>평가자 지정·기간 분할 요청 기록 + 처리 결과 — 평가자 지정과 요청 처리 이력 신설 필요</t>
        </is>
      </c>
      <c r="J70" s="14" t="inlineStr">
        <is>
          <t>고유</t>
        </is>
      </c>
    </row>
    <row r="71" ht="20" customHeight="1">
      <c r="B71" s="13" t="inlineStr">
        <is>
          <t xml:space="preserve">  피드백 단계</t>
        </is>
      </c>
      <c r="C71" s="8" t="n"/>
      <c r="D71" s="8" t="n"/>
      <c r="E71" s="8" t="n"/>
      <c r="F71" s="8" t="n"/>
      <c r="G71" s="8" t="n"/>
      <c r="H71" s="8" t="n"/>
      <c r="I71" s="8" t="n"/>
      <c r="J71" s="9" t="n"/>
    </row>
    <row r="72" ht="46" customHeight="1">
      <c r="B72" s="14" t="n">
        <v>63</v>
      </c>
      <c r="C72" s="3" t="inlineStr">
        <is>
          <t>피드백-구성원-01</t>
        </is>
      </c>
      <c r="D72" s="3" t="inlineStr">
        <is>
          <t>구성원</t>
        </is>
      </c>
      <c r="E72" s="14" t="inlineStr">
        <is>
          <t>T1 기한 도래</t>
        </is>
      </c>
      <c r="F72" s="15" t="inlineStr">
        <is>
          <t>다면진단 배정 5명 중 2명이 남았어요</t>
        </is>
      </c>
      <c r="G72" s="3" t="inlineStr">
        <is>
          <t>제출 기한까지 사흘 남았는데 두 건이 비어 있어요</t>
        </is>
      </c>
      <c r="H72" s="3" t="inlineStr">
        <is>
          <t>A1 작성 — 다면진단 초안
[다면진단 제출]</t>
        </is>
      </c>
      <c r="I72" s="3" t="inlineStr">
        <is>
          <t>다면진단 제출 기록 신규 생성 (저장 위치 신설 필요)</t>
        </is>
      </c>
      <c r="J72" s="14" t="inlineStr">
        <is>
          <t>범용</t>
        </is>
      </c>
    </row>
    <row r="73" ht="46" customHeight="1">
      <c r="B73" s="14" t="n">
        <v>64</v>
      </c>
      <c r="C73" s="3" t="inlineStr">
        <is>
          <t>피드백-구성원-02</t>
        </is>
      </c>
      <c r="D73" s="3" t="inlineStr">
        <is>
          <t>구성원</t>
        </is>
      </c>
      <c r="E73" s="14" t="inlineStr">
        <is>
          <t>T4 연결 불일치</t>
        </is>
      </c>
      <c r="F73" s="15" t="inlineStr">
        <is>
          <t>가중치 1위 역량이 2.6점에 머물러 있어요</t>
        </is>
      </c>
      <c r="G73" s="3" t="inlineStr">
        <is>
          <t>다른 역량 평균 3.8점보다 눈에 띄게 낮아요</t>
        </is>
      </c>
      <c r="H73" s="3" t="inlineStr">
        <is>
          <t>A1 작성 — 역량 개발 메모 초안
[다음 목표 후보로 저장]</t>
        </is>
      </c>
      <c r="I73" s="3" t="inlineStr">
        <is>
          <t>역량 개발 메모 신규 생성 + 다음 기간 목표 후보로 저장 (저장 위치 신설 필요)</t>
        </is>
      </c>
      <c r="J73" s="14" t="inlineStr">
        <is>
          <t>고유</t>
        </is>
      </c>
    </row>
    <row r="74" ht="46" customHeight="1">
      <c r="B74" s="14" t="n">
        <v>65</v>
      </c>
      <c r="C74" s="3" t="inlineStr">
        <is>
          <t>피드백-구성원-03</t>
        </is>
      </c>
      <c r="D74" s="3" t="inlineStr">
        <is>
          <t>구성원</t>
        </is>
      </c>
      <c r="E74" s="14" t="inlineStr">
        <is>
          <t>T5 상황 변동</t>
        </is>
      </c>
      <c r="F74" s="15" t="inlineStr">
        <is>
          <t>함께 걸린 목표의 동료 피드백이 도착했어요</t>
        </is>
      </c>
      <c r="G74" s="3" t="inlineStr">
        <is>
          <t>보낸 동료가 목표 G-0142에 함께 걸려 있어요</t>
        </is>
      </c>
      <c r="H74" s="3" t="inlineStr">
        <is>
          <t>A3 전달 — 답신 초안
[답신 보내기]</t>
        </is>
      </c>
      <c r="I74" s="3" t="inlineStr">
        <is>
          <t>답신 메시지 기록 + 보냄·받음·열람 기록 (저장 위치 신설 필요)</t>
        </is>
      </c>
      <c r="J74" s="14" t="inlineStr">
        <is>
          <t>고유</t>
        </is>
      </c>
    </row>
    <row r="75" ht="46" customHeight="1">
      <c r="B75" s="14" t="n">
        <v>66</v>
      </c>
      <c r="C75" s="3" t="inlineStr">
        <is>
          <t>피드백-팀장-01</t>
        </is>
      </c>
      <c r="D75" s="3" t="inlineStr">
        <is>
          <t>팀장(1차 평가자)</t>
        </is>
      </c>
      <c r="E75" s="14" t="inlineStr">
        <is>
          <t>T1 기한 도래</t>
        </is>
      </c>
      <c r="F75" s="15" t="inlineStr">
        <is>
          <t>B님과의 결과 면담이 아직 안 잡혔어요</t>
        </is>
      </c>
      <c r="G75" s="3" t="inlineStr">
        <is>
          <t>직속 팀원 5명 중 3명은 이미 면담을 마쳤어요</t>
        </is>
      </c>
      <c r="H75" s="3" t="inlineStr">
        <is>
          <t>A4 면담 — 결과 면담 아젠다 초안
[이 아젠다로 면담 잡기]</t>
        </is>
      </c>
      <c r="I75" s="3" t="inlineStr">
        <is>
          <t>일정 생성 + 이야기할 항목 기록(등급과 근거·잘한 점 2가지·다음 기간 과제) (면담 기록 서버 보존 신설 필요)</t>
        </is>
      </c>
      <c r="J75" s="14" t="inlineStr">
        <is>
          <t>범용</t>
        </is>
      </c>
    </row>
    <row r="76" ht="46" customHeight="1">
      <c r="B76" s="14" t="n">
        <v>67</v>
      </c>
      <c r="C76" s="3" t="inlineStr">
        <is>
          <t>피드백-팀장-02</t>
        </is>
      </c>
      <c r="D76" s="3" t="inlineStr">
        <is>
          <t>팀장(1차 평가자)</t>
        </is>
      </c>
      <c r="E76" s="14" t="inlineStr">
        <is>
          <t>T2 작성 공백</t>
        </is>
      </c>
      <c r="F76" s="15" t="inlineStr">
        <is>
          <t>써 둔 피드백이 닷새째 안 갔어요</t>
        </is>
      </c>
      <c r="G76" s="3" t="inlineStr">
        <is>
          <t>제도 기준 전달 기한은 등급 확정 후 사흘이에요</t>
        </is>
      </c>
      <c r="H76" s="3" t="inlineStr">
        <is>
          <t>A3 전달 — 피드백 전달문 초안
[피드백 보내기]</t>
        </is>
      </c>
      <c r="I76" s="3" t="inlineStr">
        <is>
          <t>피드백 전달 기록 + 보냄·받음·열람 기록 생성 (피드백 전달 여부 기록 저장 위치 신설 필요)</t>
        </is>
      </c>
      <c r="J76" s="14" t="inlineStr">
        <is>
          <t>고유</t>
        </is>
      </c>
    </row>
    <row r="77" ht="46" customHeight="1">
      <c r="B77" s="14" t="n">
        <v>68</v>
      </c>
      <c r="C77" s="3" t="inlineStr">
        <is>
          <t>피드백-팀장-03</t>
        </is>
      </c>
      <c r="D77" s="3" t="inlineStr">
        <is>
          <t>팀장(1차 평가자)</t>
        </is>
      </c>
      <c r="E77" s="14" t="inlineStr">
        <is>
          <t>T5 상황 변동</t>
        </is>
      </c>
      <c r="F77" s="15" t="inlineStr">
        <is>
          <t>동료 리뷰 2건이 같은 역량을 짚었어요</t>
        </is>
      </c>
      <c r="G77" s="3" t="inlineStr">
        <is>
          <t>새로 온 3건 중 2건이 D3를 개발 항목으로 적었어요</t>
        </is>
      </c>
      <c r="H77" s="3" t="inlineStr">
        <is>
          <t>A2 수정 — 피드백 수정 초안
[수정본 반영]</t>
        </is>
      </c>
      <c r="I77" s="3" t="inlineStr">
        <is>
          <t>그 팀원 피드백 초안 수정 + 수정 이력 기록 (피드백 초안 저장 위치 신설 필요)</t>
        </is>
      </c>
      <c r="J77" s="14" t="inlineStr">
        <is>
          <t>고유</t>
        </is>
      </c>
    </row>
    <row r="78" ht="46" customHeight="1">
      <c r="B78" s="14" t="n">
        <v>69</v>
      </c>
      <c r="C78" s="3" t="inlineStr">
        <is>
          <t>피드백-상위조직장-01</t>
        </is>
      </c>
      <c r="D78" s="3" t="inlineStr">
        <is>
          <t>상위 조직장(2차 평가자)</t>
        </is>
      </c>
      <c r="E78" s="14" t="inlineStr">
        <is>
          <t>T1 기한 도래</t>
        </is>
      </c>
      <c r="F78" s="15" t="inlineStr">
        <is>
          <t>하위 2개 팀 결과 면담이 0건이에요</t>
        </is>
      </c>
      <c r="G78" s="3" t="inlineStr">
        <is>
          <t>내 조직 평균은 63%인데 두 팀만 비어 있어요</t>
        </is>
      </c>
      <c r="H78" s="3" t="inlineStr">
        <is>
          <t>A3 전달 — 안내 문구 초안
[안내 보내기]</t>
        </is>
      </c>
      <c r="I78" s="3" t="inlineStr">
        <is>
          <t>메시지 기록 + 보냄·받음 기록 (알림 이력에 발송 결과 저장 — 서버 보존 신설 필요)</t>
        </is>
      </c>
      <c r="J78" s="14" t="inlineStr">
        <is>
          <t>범용</t>
        </is>
      </c>
    </row>
    <row r="79" ht="46" customHeight="1">
      <c r="B79" s="14" t="n">
        <v>70</v>
      </c>
      <c r="C79" s="3" t="inlineStr">
        <is>
          <t>피드백-상위조직장-02</t>
        </is>
      </c>
      <c r="D79" s="3" t="inlineStr">
        <is>
          <t>상위 조직장(2차 평가자)</t>
        </is>
      </c>
      <c r="E79" s="14" t="inlineStr">
        <is>
          <t>T2 작성 공백</t>
        </is>
      </c>
      <c r="F79" s="15" t="inlineStr">
        <is>
          <t>두 팀 결과 면담이 17명 중 2명뿐이에요</t>
        </is>
      </c>
      <c r="G79" s="3" t="inlineStr">
        <is>
          <t>등급이 확정된 지 21일이 지난 상태예요</t>
        </is>
      </c>
      <c r="H79" s="3" t="inlineStr">
        <is>
          <t>A6 요청 — 면담 실시 요청 초안
[면담 실시 요청]</t>
        </is>
      </c>
      <c r="I79" s="3" t="inlineStr">
        <is>
          <t>요청 기록 + 승인 흐름 (면담 실시 요청 이력 저장 위치 신설 필요)</t>
        </is>
      </c>
      <c r="J79" s="14" t="inlineStr">
        <is>
          <t>고유</t>
        </is>
      </c>
    </row>
    <row r="80" ht="46" customHeight="1">
      <c r="B80" s="14" t="n">
        <v>71</v>
      </c>
      <c r="C80" s="3" t="inlineStr">
        <is>
          <t>피드백-상위조직장-03</t>
        </is>
      </c>
      <c r="D80" s="3" t="inlineStr">
        <is>
          <t>상위 조직장(2차 평가자)</t>
        </is>
      </c>
      <c r="E80" s="14" t="inlineStr">
        <is>
          <t>T4 연결 불일치</t>
        </is>
      </c>
      <c r="F80" s="15" t="inlineStr">
        <is>
          <t>C등급 3건에 육성 의견이 비어 있어요</t>
        </is>
      </c>
      <c r="G80" s="3" t="inlineStr">
        <is>
          <t>제도 기준상 최저 등급은 육성 의견이 필수예요</t>
        </is>
      </c>
      <c r="H80" s="3" t="inlineStr">
        <is>
          <t>A6 요청 — 육성 의견 보완 요청 초안
[보완 요청 보내기]</t>
        </is>
      </c>
      <c r="I80" s="3" t="inlineStr">
        <is>
          <t>요청 기록 + 승인 흐름 (육성 의견 보완 요청 이력 저장 위치 신설 필요)</t>
        </is>
      </c>
      <c r="J80" s="14" t="inlineStr">
        <is>
          <t>고유</t>
        </is>
      </c>
    </row>
    <row r="81" ht="26" customHeight="1">
      <c r="B81" s="16" t="n">
        <v>72</v>
      </c>
      <c r="C81" s="17" t="inlineStr">
        <is>
          <t>피드백-상위조직장-04</t>
        </is>
      </c>
      <c r="D81" s="17" t="inlineStr">
        <is>
          <t>상위 조직장(2차 평가자)</t>
        </is>
      </c>
      <c r="E81" s="16" t="inlineStr">
        <is>
          <t>T5 상황 변동</t>
        </is>
      </c>
      <c r="F81" s="17" t="inlineStr">
        <is>
          <t>상향 피드백 2건이 도착했어요</t>
        </is>
      </c>
      <c r="G81" s="17" t="inlineStr">
        <is>
          <t>합계 2건이라 팀 단위로 볼 근거가 얇아요</t>
        </is>
      </c>
      <c r="H81" s="17" t="inlineStr">
        <is>
          <t>-</t>
        </is>
      </c>
      <c r="I81" s="17" t="inlineStr">
        <is>
          <t>-</t>
        </is>
      </c>
      <c r="J81" s="16" t="inlineStr">
        <is>
          <t>제외</t>
        </is>
      </c>
    </row>
    <row r="82" ht="46" customHeight="1">
      <c r="B82" s="14" t="n">
        <v>73</v>
      </c>
      <c r="C82" s="3" t="inlineStr">
        <is>
          <t>피드백-HR경영진-01</t>
        </is>
      </c>
      <c r="D82" s="3" t="inlineStr">
        <is>
          <t>HR·경영진</t>
        </is>
      </c>
      <c r="E82" s="14" t="inlineStr">
        <is>
          <t>T1 기한 도래</t>
        </is>
      </c>
      <c r="F82" s="15" t="inlineStr">
        <is>
          <t>전사 결과 면담 완료율이 23%예요</t>
        </is>
      </c>
      <c r="G82" s="3" t="inlineStr">
        <is>
          <t>기한까지 닷새인데 제도 기준은 70%예요</t>
        </is>
      </c>
      <c r="H82" s="3" t="inlineStr">
        <is>
          <t>A3 전달 — 기한 안내 초안
[기한 안내 보내기]</t>
        </is>
      </c>
      <c r="I82" s="3" t="inlineStr">
        <is>
          <t>기한 안내 메시지 발송 기록(보냄·받음) + 조직별 완료율 갱신 — 알림 발송 기록 신설 필요</t>
        </is>
      </c>
      <c r="J82" s="14" t="inlineStr">
        <is>
          <t>범용</t>
        </is>
      </c>
    </row>
    <row r="83" ht="46" customHeight="1">
      <c r="B83" s="14" t="n">
        <v>74</v>
      </c>
      <c r="C83" s="3" t="inlineStr">
        <is>
          <t>피드백-HR경영진-02</t>
        </is>
      </c>
      <c r="D83" s="3" t="inlineStr">
        <is>
          <t>HR·경영진</t>
        </is>
      </c>
      <c r="E83" s="14" t="inlineStr">
        <is>
          <t>T2 작성 공백</t>
        </is>
      </c>
      <c r="F83" s="15" t="inlineStr">
        <is>
          <t>4개 조직에서 60일간 피드백이 0건이에요</t>
        </is>
      </c>
      <c r="G83" s="3" t="inlineStr">
        <is>
          <t>전사 인당 1.4건인데 이 조직들만 비어 있어요</t>
        </is>
      </c>
      <c r="H83" s="3" t="inlineStr">
        <is>
          <t>A6 요청 — 피드백 면담 실시 요청 초안
[실시 요청 보내기]</t>
        </is>
      </c>
      <c r="I83" s="3" t="inlineStr">
        <is>
          <t>피드백 면담 실시 요청 기록 + 조직별 이행 상태 — 요청 처리 이력과 피드백 보냄·받음 기록 신설 필요</t>
        </is>
      </c>
      <c r="J83" s="14" t="inlineStr">
        <is>
          <t>고유</t>
        </is>
      </c>
    </row>
    <row r="84" ht="46" customHeight="1">
      <c r="B84" s="14" t="n">
        <v>75</v>
      </c>
      <c r="C84" s="3" t="inlineStr">
        <is>
          <t>피드백-HR경영진-03</t>
        </is>
      </c>
      <c r="D84" s="3" t="inlineStr">
        <is>
          <t>HR·경영진</t>
        </is>
      </c>
      <c r="E84" s="14" t="inlineStr">
        <is>
          <t>T3 기준 이탈</t>
        </is>
      </c>
      <c r="F84" s="15" t="inlineStr">
        <is>
          <t>세 조직 다면진단 제출률이 34%예요</t>
        </is>
      </c>
      <c r="G84" s="3" t="inlineStr">
        <is>
          <t>제도 기준 80%, 전사 71%에 크게 못 미쳐요</t>
        </is>
      </c>
      <c r="H84" s="3" t="inlineStr">
        <is>
          <t>A3 전달 — 참여 독려 문구 초안
[독려 안내 보내기]</t>
        </is>
      </c>
      <c r="I84" s="3" t="inlineStr">
        <is>
          <t>참여 독려 메시지 발송 기록(보냄·받음) + 조직별 제출률 갱신 — 알림 발송 기록 신설 필요</t>
        </is>
      </c>
      <c r="J84" s="14" t="inlineStr">
        <is>
          <t>고유</t>
        </is>
      </c>
    </row>
    <row r="85" ht="46" customHeight="1">
      <c r="B85" s="14" t="n">
        <v>76</v>
      </c>
      <c r="C85" s="3" t="inlineStr">
        <is>
          <t>피드백-HR경영진-04</t>
        </is>
      </c>
      <c r="D85" s="3" t="inlineStr">
        <is>
          <t>HR·경영진</t>
        </is>
      </c>
      <c r="E85" s="14" t="inlineStr">
        <is>
          <t>T4 연결 불일치</t>
        </is>
      </c>
      <c r="F85" s="15" t="inlineStr">
        <is>
          <t>하위 등급 14명 중 2명만 기록이 남았어요</t>
        </is>
      </c>
      <c r="G85" s="3" t="inlineStr">
        <is>
          <t>전사는 78%인데 두 조직만 크게 낮아요</t>
        </is>
      </c>
      <c r="H85" s="3" t="inlineStr">
        <is>
          <t>A6 요청 — 결과 설명 보완 요청 초안
[설명 보완 요청]</t>
        </is>
      </c>
      <c r="I85" s="3" t="inlineStr">
        <is>
          <t>면담·코멘트 보완 요청 기록 + 조직별 이행 상태 — 요청 처리 이력과 면담 기록 서버 보존 신설 필요</t>
        </is>
      </c>
      <c r="J85" s="14" t="inlineStr">
        <is>
          <t>고유</t>
        </is>
      </c>
    </row>
  </sheetData>
  <mergeCells count="5">
    <mergeCell ref="B3:J3"/>
    <mergeCell ref="B50:J50"/>
    <mergeCell ref="B71:J71"/>
    <mergeCell ref="B6:J6"/>
    <mergeCell ref="B30:J30"/>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R78"/>
  <sheetViews>
    <sheetView showGridLines="0" workbookViewId="0">
      <pane xSplit="6" ySplit="2" topLeftCell="G3"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9" customWidth="1" min="3" max="3"/>
    <col width="16" customWidth="1" min="4" max="4"/>
    <col width="12" customWidth="1" min="5" max="5"/>
    <col width="12" customWidth="1" min="6" max="6"/>
    <col width="30" customWidth="1" min="7" max="7"/>
    <col width="32" customWidth="1" min="8" max="8"/>
    <col width="30" customWidth="1" min="9" max="9"/>
    <col width="30" customWidth="1" min="10" max="10"/>
    <col width="30" customWidth="1" min="11" max="11"/>
    <col width="26" customWidth="1" min="12" max="12"/>
    <col width="60" customWidth="1" min="13" max="13"/>
    <col width="14" customWidth="1" min="14" max="14"/>
    <col width="34" customWidth="1" min="15" max="15"/>
    <col width="26" customWidth="1" min="16" max="16"/>
    <col width="18" customWidth="1" min="17" max="17"/>
    <col width="30" customWidth="1" min="18" max="18"/>
  </cols>
  <sheetData>
    <row r="1" ht="20" customHeight="1">
      <c r="A1" s="18" t="inlineStr">
        <is>
          <t>신호 — 카드 머리</t>
        </is>
      </c>
      <c r="I1" s="19" t="inlineStr">
        <is>
          <t>근거 — 펼치면 보이는 3줄</t>
        </is>
      </c>
      <c r="L1" s="20" t="inlineStr">
        <is>
          <t>행동 — 초안과 버튼</t>
        </is>
      </c>
    </row>
    <row r="2" ht="30" customHeight="1">
      <c r="A2" s="7" t="inlineStr">
        <is>
          <t>No.</t>
        </is>
      </c>
      <c r="B2" s="7" t="inlineStr">
        <is>
          <t>신호 ID</t>
        </is>
      </c>
      <c r="C2" s="7" t="inlineStr">
        <is>
          <t>단계</t>
        </is>
      </c>
      <c r="D2" s="7" t="inlineStr">
        <is>
          <t>수신 대상</t>
        </is>
      </c>
      <c r="E2" s="7" t="inlineStr">
        <is>
          <t>신호 유형</t>
        </is>
      </c>
      <c r="F2" s="7" t="inlineStr">
        <is>
          <t>카드 색·아이콘</t>
        </is>
      </c>
      <c r="G2" s="7" t="inlineStr">
        <is>
          <t>신호 문장 (카드 제목)</t>
        </is>
      </c>
      <c r="H2" s="7" t="inlineStr">
        <is>
          <t>신호 근거 한 줄 (접힘)</t>
        </is>
      </c>
      <c r="I2" s="12" t="inlineStr">
        <is>
          <t>펼침 근거 ①</t>
        </is>
      </c>
      <c r="J2" s="12" t="inlineStr">
        <is>
          <t>펼침 근거 ②</t>
        </is>
      </c>
      <c r="K2" s="12" t="inlineStr">
        <is>
          <t>펼침 근거 ③</t>
        </is>
      </c>
      <c r="L2" s="5" t="inlineStr">
        <is>
          <t>초안 라벨</t>
        </is>
      </c>
      <c r="M2" s="5" t="inlineStr">
        <is>
          <t>초안 본문 (편집 가능)</t>
        </is>
      </c>
      <c r="N2" s="5" t="inlineStr">
        <is>
          <t>확정 버튼</t>
        </is>
      </c>
      <c r="O2" s="5" t="inlineStr">
        <is>
          <t>Agent 첫 말</t>
        </is>
      </c>
      <c r="P2" s="5" t="inlineStr">
        <is>
          <t>후속 요청 버튼 3개</t>
        </is>
      </c>
      <c r="Q2" s="5" t="inlineStr">
        <is>
          <t>완료 제목</t>
        </is>
      </c>
      <c r="R2" s="5" t="inlineStr">
        <is>
          <t>완료 부연</t>
        </is>
      </c>
    </row>
    <row r="3" ht="78" customHeight="1">
      <c r="A3" s="14" t="n">
        <v>1</v>
      </c>
      <c r="B3" s="3" t="inlineStr">
        <is>
          <t>목표수립-구성원-01</t>
        </is>
      </c>
      <c r="C3" s="14" t="inlineStr">
        <is>
          <t>목표수립</t>
        </is>
      </c>
      <c r="D3" s="3" t="inlineStr">
        <is>
          <t>구성원</t>
        </is>
      </c>
      <c r="E3" s="14" t="inlineStr">
        <is>
          <t>T1 기한 도래</t>
        </is>
      </c>
      <c r="F3" s="14" t="inlineStr">
        <is>
          <t>◈ amber</t>
        </is>
      </c>
      <c r="G3" s="3" t="inlineStr">
        <is>
          <t>저장된 목표가 0건, 마감은 사흘 뒤예요</t>
        </is>
      </c>
      <c r="H3" s="3" t="inlineStr">
        <is>
          <t>FY2026-2Q 마감일이 8월 15일이에요</t>
        </is>
      </c>
      <c r="I3" s="3" t="inlineStr">
        <is>
          <t>&lt;b&gt;FY2026-2Q&lt;/b&gt; 기준 내 이름으로 저장된 목표가 0건이에요</t>
        </is>
      </c>
      <c r="J3" s="3" t="inlineStr">
        <is>
          <t>제출 마감 &lt;b&gt;2026-08-15&lt;/b&gt;까지 3일 남았어요</t>
        </is>
      </c>
      <c r="K3" s="3" t="inlineStr">
        <is>
          <t>내 &lt;b&gt;직무 프로파일 과업&lt;/b&gt;과 소속 조직 상위 목표를 확인했어요</t>
        </is>
      </c>
      <c r="L3" s="3" t="inlineStr">
        <is>
          <t>행동 · 목표 초안 (수정할 수 있어요)</t>
        </is>
      </c>
      <c r="M3" s="3" t="inlineStr">
        <is>
          <t>1) 직무 프로파일의 핵심 과업을 기준으로 담당 영역의 성과 목표를 세웁니다.
2) 소속 조직 상위 목표에 연결해 기여 방향을 맞춥니다.
3) 지난 기간 목표에서 이어갈 항목을 한 건 승계합니다.
마감인 2026년 8월 15일 전에 세 건 모두 핵심결과와 함께 저장합니다.</t>
        </is>
      </c>
      <c r="N3" s="14" t="inlineStr">
        <is>
          <t>목표 3건 저장</t>
        </is>
      </c>
      <c r="O3" s="3" t="inlineStr">
        <is>
          <t>직무 과업과 상위 목표로 목표 초안 3건을 잡아봤어요. 함께 다듬어볼까요?</t>
        </is>
      </c>
      <c r="P3" s="3" t="inlineStr">
        <is>
          <t>더 도전적으로 · 수치 목표로 · 지난 기간 목표 참고</t>
        </is>
      </c>
      <c r="Q3" s="3" t="inlineStr">
        <is>
          <t>목표 3건을 저장했어요</t>
        </is>
      </c>
      <c r="R3" s="3" t="inlineStr">
        <is>
          <t>핵심결과와 함께 목표 기록에 새로 저장됩니다.</t>
        </is>
      </c>
    </row>
    <row r="4" ht="78" customHeight="1">
      <c r="A4" s="14" t="n">
        <v>2</v>
      </c>
      <c r="B4" s="3" t="inlineStr">
        <is>
          <t>목표수립-구성원-02</t>
        </is>
      </c>
      <c r="C4" s="14" t="inlineStr">
        <is>
          <t>목표수립</t>
        </is>
      </c>
      <c r="D4" s="3" t="inlineStr">
        <is>
          <t>구성원</t>
        </is>
      </c>
      <c r="E4" s="14" t="inlineStr">
        <is>
          <t>T2 작성 공백</t>
        </is>
      </c>
      <c r="F4" s="14" t="inlineStr">
        <is>
          <t>◇ coral</t>
        </is>
      </c>
      <c r="G4" s="3" t="inlineStr">
        <is>
          <t>목표 G-0142에 핵심결과가 0건이에요</t>
        </is>
      </c>
      <c r="H4" s="3" t="inlineStr">
        <is>
          <t>저장한 지 7일째인데 같은 팀 평균은 3.7건이에요</t>
        </is>
      </c>
      <c r="I4" s="3" t="inlineStr">
        <is>
          <t>목표 &lt;b&gt;G-0142&lt;/b&gt;에 연결된 핵심결과가 0건이에요</t>
        </is>
      </c>
      <c r="J4" s="3" t="inlineStr">
        <is>
          <t>같은 팀 목표는 평균 &lt;b&gt;핵심결과 3.7건&lt;/b&gt;을 달고 있어요</t>
        </is>
      </c>
      <c r="K4" s="3" t="inlineStr">
        <is>
          <t>이 목표를 저장한 지 &lt;b&gt;7일&lt;/b&gt;이 지났어요</t>
        </is>
      </c>
      <c r="L4" s="3" t="inlineStr">
        <is>
          <t>행동 · 핵심결과 초안 (수정할 수 있어요)</t>
        </is>
      </c>
      <c r="M4" s="3" t="inlineStr">
        <is>
          <t>목표 G-0142의 핵심결과를 세 건으로 나눕니다.
1) 담당 과업의 산출물 완료 건수를 지표로 잡습니다.
2) 품질 지표를 하나 넣어 결과의 수준을 드러냅니다.
3) 같은 직무 동료가 쓰는 표현에 맞춰 목표값 단위를 통일합니다.</t>
        </is>
      </c>
      <c r="N4" s="14" t="inlineStr">
        <is>
          <t>핵심결과 3건 저장</t>
        </is>
      </c>
      <c r="O4" s="3" t="inlineStr">
        <is>
          <t>목표 G-0142에 붙일 핵심결과 초안 3건을 만들어봤어요. 지표를 바꿔볼까요?</t>
        </is>
      </c>
      <c r="P4" s="3" t="inlineStr">
        <is>
          <t>지표를 더 명확히 · 목표값 넣어서 · 건수 줄여서</t>
        </is>
      </c>
      <c r="Q4" s="3" t="inlineStr">
        <is>
          <t>핵심결과 3건을 저장했어요</t>
        </is>
      </c>
      <c r="R4" s="3" t="inlineStr">
        <is>
          <t>목표 G-0142에 연결된 핵심결과로 기록됩니다.</t>
        </is>
      </c>
    </row>
    <row r="5" ht="78" customHeight="1">
      <c r="A5" s="14" t="n">
        <v>3</v>
      </c>
      <c r="B5" s="3" t="inlineStr">
        <is>
          <t>목표수립-구성원-03</t>
        </is>
      </c>
      <c r="C5" s="14" t="inlineStr">
        <is>
          <t>목표수립</t>
        </is>
      </c>
      <c r="D5" s="3" t="inlineStr">
        <is>
          <t>구성원</t>
        </is>
      </c>
      <c r="E5" s="14" t="inlineStr">
        <is>
          <t>T3 기준 이탈</t>
        </is>
      </c>
      <c r="F5" s="14" t="inlineStr">
        <is>
          <t>◐ purple</t>
        </is>
      </c>
      <c r="G5" s="3" t="inlineStr">
        <is>
          <t>핵심결과 가중치 합이 85%에 그쳐요</t>
        </is>
      </c>
      <c r="H5" s="3" t="inlineStr">
        <is>
          <t>기준 100%에서 15%포인트가 비어 있어요</t>
        </is>
      </c>
      <c r="I5" s="3" t="inlineStr">
        <is>
          <t>목표 &lt;b&gt;G-0142&lt;/b&gt;의 핵심결과 4건 가중치 합이 85%예요</t>
        </is>
      </c>
      <c r="J5" s="3" t="inlineStr">
        <is>
          <t>제도에서 정한 가중치 합 기준은 &lt;b&gt;100%&lt;/b&gt;예요</t>
        </is>
      </c>
      <c r="K5" s="3" t="inlineStr">
        <is>
          <t>지난 기간 &lt;b&gt;가중치 배분&lt;/b&gt;과 난이도 A~C 등급을 확인했어요</t>
        </is>
      </c>
      <c r="L5" s="3" t="inlineStr">
        <is>
          <t>행동 · 가중치 조정 초안 (수정할 수 있어요)</t>
        </is>
      </c>
      <c r="M5" s="3" t="inlineStr">
        <is>
          <t>핵심결과 4건의 가중치 합을 85%에서 100%로 맞춥니다. 난이도가 높고 목표 기여가 큰 핵심결과에 비어 있던 15%포인트를 더해 배분하고, 나머지 핵심결과는 지난 기간에 쓴 배분 비율을 그대로 유지합니다.</t>
        </is>
      </c>
      <c r="N5" s="14" t="inlineStr">
        <is>
          <t>가중치 조정 반영</t>
        </is>
      </c>
      <c r="O5" s="3" t="inlineStr">
        <is>
          <t>가중치 합을 100%로 맞춘 초안이에요. 어느 핵심결과에 실을지 골라볼까요?</t>
        </is>
      </c>
      <c r="P5" s="3" t="inlineStr">
        <is>
          <t>고르게 나눠줘 · 난이도 순으로 · 왜 85%인지 설명</t>
        </is>
      </c>
      <c r="Q5" s="3" t="inlineStr">
        <is>
          <t>가중치를 100%로 맞췄어요</t>
        </is>
      </c>
      <c r="R5" s="3" t="inlineStr">
        <is>
          <t>바뀐 가중치는 수정 이력과 함께 남습니다.</t>
        </is>
      </c>
    </row>
    <row r="6" ht="78" customHeight="1">
      <c r="A6" s="14" t="n">
        <v>4</v>
      </c>
      <c r="B6" s="3" t="inlineStr">
        <is>
          <t>목표수립-구성원-04</t>
        </is>
      </c>
      <c r="C6" s="14" t="inlineStr">
        <is>
          <t>목표수립</t>
        </is>
      </c>
      <c r="D6" s="3" t="inlineStr">
        <is>
          <t>구성원</t>
        </is>
      </c>
      <c r="E6" s="14" t="inlineStr">
        <is>
          <t>T4 연결 불일치</t>
        </is>
      </c>
      <c r="F6" s="14" t="inlineStr">
        <is>
          <t>◎ blue</t>
        </is>
      </c>
      <c r="G6" s="3" t="inlineStr">
        <is>
          <t>핵심결과 3건 중 2건이 직무 과업과 끊겼어요</t>
        </is>
      </c>
      <c r="H6" s="3" t="inlineStr">
        <is>
          <t>가중치 1위 역량 D2에 걸린 핵심결과가 없어요</t>
        </is>
      </c>
      <c r="I6" s="3" t="inlineStr">
        <is>
          <t>핵심결과 3건 중 &lt;b&gt;2건&lt;/b&gt;이 직무 과업에 연결돼 있지 않아요</t>
        </is>
      </c>
      <c r="J6" s="3" t="inlineStr">
        <is>
          <t>직무 가중치 1위 역량 &lt;b&gt;D2&lt;/b&gt;에 걸린 핵심결과가 0건이에요</t>
        </is>
      </c>
      <c r="K6" s="3" t="inlineStr">
        <is>
          <t>내 &lt;b&gt;직무 프로파일&lt;/b&gt;의 과업 영역과 역량 D1~D5 연결을 확인했어요</t>
        </is>
      </c>
      <c r="L6" s="3" t="inlineStr">
        <is>
          <t>행동 · 핵심결과 수정 초안 (수정할 수 있어요)</t>
        </is>
      </c>
      <c r="M6" s="3" t="inlineStr">
        <is>
          <t>직무 과업에 연결되지 않은 핵심결과 2건을 직무 프로파일의 과업 영역에 맞춰 다시 씁니다. 그중 1건은 가중치가 가장 높은 역량 D2를 다루는 과업으로 옮겨, 역량 D2에 걸린 핵심결과가 0건인 상태를 해소합니다.</t>
        </is>
      </c>
      <c r="N6" s="14" t="inlineStr">
        <is>
          <t>이 연결로 수정</t>
        </is>
      </c>
      <c r="O6" s="3" t="inlineStr">
        <is>
          <t>직무 과업에 맞춰 핵심결과 2건을 고쳐봤어요. 어느 과업에 붙일지 같이 볼까요?</t>
        </is>
      </c>
      <c r="P6" s="3" t="inlineStr">
        <is>
          <t>다른 과업으로 · 역량 D2 중심으로 · 표현만 다듬어줘</t>
        </is>
      </c>
      <c r="Q6" s="3" t="inlineStr">
        <is>
          <t>핵심결과를 수정했어요</t>
        </is>
      </c>
      <c r="R6" s="3" t="inlineStr">
        <is>
          <t>과업 연결과 수정 이력이 함께 기록됩니다.</t>
        </is>
      </c>
    </row>
    <row r="7" ht="78" customHeight="1">
      <c r="A7" s="14" t="n">
        <v>5</v>
      </c>
      <c r="B7" s="3" t="inlineStr">
        <is>
          <t>목표수립-구성원-05</t>
        </is>
      </c>
      <c r="C7" s="14" t="inlineStr">
        <is>
          <t>목표수립</t>
        </is>
      </c>
      <c r="D7" s="3" t="inlineStr">
        <is>
          <t>구성원</t>
        </is>
      </c>
      <c r="E7" s="14" t="inlineStr">
        <is>
          <t>T5 상황 변동</t>
        </is>
      </c>
      <c r="F7" s="14" t="inlineStr">
        <is>
          <t>◆ green</t>
        </is>
      </c>
      <c r="G7" s="3" t="inlineStr">
        <is>
          <t>직무가 바뀌었는데 목표 2건이 그대로예요</t>
        </is>
      </c>
      <c r="H7" s="3" t="inlineStr">
        <is>
          <t>7월 1일 발령 뒤에도 이전 직무 과업을 보고 있어요</t>
        </is>
      </c>
      <c r="I7" s="3" t="inlineStr">
        <is>
          <t>진행 중 목표 &lt;b&gt;2건&lt;/b&gt;이 이전 직무 과업을 참조하고 있어요</t>
        </is>
      </c>
      <c r="J7" s="3" t="inlineStr">
        <is>
          <t>&lt;b&gt;2026-07-01&lt;/b&gt; 발령으로 직무가 영업기획에서 사업개발로 바뀌었어요</t>
        </is>
      </c>
      <c r="K7" s="3" t="inlineStr">
        <is>
          <t>새 &lt;b&gt;사업개발 직무 프로파일&lt;/b&gt;의 과업과 요구 역량을 확인했어요</t>
        </is>
      </c>
      <c r="L7" s="3" t="inlineStr">
        <is>
          <t>행동 · 목표 수정 초안 (수정할 수 있어요)</t>
        </is>
      </c>
      <c r="M7" s="3" t="inlineStr">
        <is>
          <t>2026년 7월 1일 사업개발 발령을 반영해 진행 중 목표 2건을 고칩니다. 1건은 새 직무 프로파일의 과업으로 바꿔 다시 쓰고, 나머지 1건은 이전 직무에서 이어갈 부분만 남긴 뒤 새 소속 조직의 상위 목표에 연결합니다.</t>
        </is>
      </c>
      <c r="N7" s="14" t="inlineStr">
        <is>
          <t>새 직무로 수정</t>
        </is>
      </c>
      <c r="O7" s="3" t="inlineStr">
        <is>
          <t>발령을 반영해 목표 2건을 새 직무에 맞춰봤어요. 그대로 둘 목표가 있을까요?</t>
        </is>
      </c>
      <c r="P7" s="3" t="inlineStr">
        <is>
          <t>1건은 그대로 둘래 · 새 상위 목표 보기 · 핵심결과도 같이</t>
        </is>
      </c>
      <c r="Q7" s="3" t="inlineStr">
        <is>
          <t>목표를 새 직무에 맞췄어요</t>
        </is>
      </c>
      <c r="R7" s="3" t="inlineStr">
        <is>
          <t>직무 변경 사유가 수정 이력에 함께 남습니다.</t>
        </is>
      </c>
    </row>
    <row r="8" ht="78" customHeight="1">
      <c r="A8" s="14" t="n">
        <v>6</v>
      </c>
      <c r="B8" s="3" t="inlineStr">
        <is>
          <t>목표수립-팀장-01</t>
        </is>
      </c>
      <c r="C8" s="14" t="inlineStr">
        <is>
          <t>목표수립</t>
        </is>
      </c>
      <c r="D8" s="3" t="inlineStr">
        <is>
          <t>팀장(1차 평가자)</t>
        </is>
      </c>
      <c r="E8" s="14" t="inlineStr">
        <is>
          <t>T1 기한 도래</t>
        </is>
      </c>
      <c r="F8" s="14" t="inlineStr">
        <is>
          <t>◈ amber</t>
        </is>
      </c>
      <c r="G8" s="3" t="inlineStr">
        <is>
          <t>B님 목표가 마감 사흘 전인데 0건이에요</t>
        </is>
      </c>
      <c r="H8" s="3" t="inlineStr">
        <is>
          <t>7월 31일 마감인데 등록된 목표가 없어요</t>
        </is>
      </c>
      <c r="I8" s="3" t="inlineStr">
        <is>
          <t>&lt;b&gt;B님&lt;/b&gt;이 이번 기간에 등록한 목표가 0건이에요</t>
        </is>
      </c>
      <c r="J8" s="3" t="inlineStr">
        <is>
          <t>제도에서 정한 기준은 &lt;b&gt;1인 1건 이상&lt;/b&gt;이에요</t>
        </is>
      </c>
      <c r="K8" s="3" t="inlineStr">
        <is>
          <t>목표수립 마감 &lt;b&gt;2026-07-31&lt;/b&gt;까지 3일 남았어요</t>
        </is>
      </c>
      <c r="L8" s="3" t="inlineStr">
        <is>
          <t>행동 · 리마인드 초안 (수정할 수 있어요)</t>
        </is>
      </c>
      <c r="M8" s="3" t="inlineStr">
        <is>
          <t>B님, 목표수립 마감이 7월 31일까지 사흘 남았습니다. 아직 등록된 목표가 없어 안내드립니다. 팀 목표와 핵심결과, B님 직무 프로파일의 과업 목록을 참고해 1건 이상 등록해 주세요. 초안이 필요하시면 Agent가 함께 잡아드립니다.</t>
        </is>
      </c>
      <c r="N8" s="14" t="inlineStr">
        <is>
          <t>리마인드 보내기</t>
        </is>
      </c>
      <c r="O8" s="3" t="inlineStr">
        <is>
          <t>B님께 보낼 리마인드를 만들어봤어요. 톤이나 마감 표현을 바꿔드릴까요?</t>
        </is>
      </c>
      <c r="P8" s="3" t="inlineStr">
        <is>
          <t>더 정중하게 · 마감 강조 · 지난 기간 목표 첨부</t>
        </is>
      </c>
      <c r="Q8" s="3" t="inlineStr">
        <is>
          <t>리마인드를 보냈어요</t>
        </is>
      </c>
      <c r="R8" s="3" t="inlineStr">
        <is>
          <t>B님에게 전달되고 발송 기록이 남습니다.</t>
        </is>
      </c>
    </row>
    <row r="9" ht="78" customHeight="1">
      <c r="A9" s="14" t="n">
        <v>7</v>
      </c>
      <c r="B9" s="3" t="inlineStr">
        <is>
          <t>목표수립-팀장-02</t>
        </is>
      </c>
      <c r="C9" s="14" t="inlineStr">
        <is>
          <t>목표수립</t>
        </is>
      </c>
      <c r="D9" s="3" t="inlineStr">
        <is>
          <t>팀장(1차 평가자)</t>
        </is>
      </c>
      <c r="E9" s="14" t="inlineStr">
        <is>
          <t>T2 작성 공백</t>
        </is>
      </c>
      <c r="F9" s="14" t="inlineStr">
        <is>
          <t>◇ coral</t>
        </is>
      </c>
      <c r="G9" s="3" t="inlineStr">
        <is>
          <t>B님 목표 2건에 핵심결과가 없어요</t>
        </is>
      </c>
      <c r="H9" s="3" t="inlineStr">
        <is>
          <t>수립 시작 열흘째인데 팀 평균은 3.7건이에요</t>
        </is>
      </c>
      <c r="I9" s="3" t="inlineStr">
        <is>
          <t>&lt;b&gt;B님&lt;/b&gt; 목표 2건 모두 핵심결과가 0건이에요</t>
        </is>
      </c>
      <c r="J9" s="3" t="inlineStr">
        <is>
          <t>같은 팀은 목표당 &lt;b&gt;핵심결과 3.7건&lt;/b&gt;을 달고 있어요</t>
        </is>
      </c>
      <c r="K9" s="3" t="inlineStr">
        <is>
          <t>목표수립이 시작된 지 &lt;b&gt;10일&lt;/b&gt;이 지났어요</t>
        </is>
      </c>
      <c r="L9" s="3" t="inlineStr">
        <is>
          <t>행동 · 핵심결과 제안 초안 (수정할 수 있어요)</t>
        </is>
      </c>
      <c r="M9" s="3" t="inlineStr">
        <is>
          <t>B님, 목표 2건에 아직 핵심결과가 없어 후보를 함께 보냅니다. 연결된 팀 목표의 핵심결과와 목표값, B님 직무 프로파일의 과업을 바탕으로 팀 평균인 목표당 3.7건 수준에 맞춰 정리했습니다. 그대로 쓰셔도 되고 표현만 바꾸셔도 됩니다.</t>
        </is>
      </c>
      <c r="N9" s="14" t="inlineStr">
        <is>
          <t>후보 담아 보내기</t>
        </is>
      </c>
      <c r="O9" s="3" t="inlineStr">
        <is>
          <t>B님 목표에 붙일 핵심결과 후보를 정리했어요. 몇 건씩 보낼지 정해볼까요?</t>
        </is>
      </c>
      <c r="P9" s="3" t="inlineStr">
        <is>
          <t>건수 줄여서 · 목표값도 넣어서 · 검토 코멘트로</t>
        </is>
      </c>
      <c r="Q9" s="3" t="inlineStr">
        <is>
          <t>후보를 보냈어요</t>
        </is>
      </c>
      <c r="R9" s="3" t="inlineStr">
        <is>
          <t>해당 목표에 검토 코멘트로 함께 남습니다.</t>
        </is>
      </c>
    </row>
    <row r="10" ht="28" customHeight="1">
      <c r="A10" s="16" t="n">
        <v>8</v>
      </c>
      <c r="B10" s="17" t="inlineStr">
        <is>
          <t>목표수립-팀장-03</t>
        </is>
      </c>
      <c r="C10" s="16" t="inlineStr">
        <is>
          <t>목표수립</t>
        </is>
      </c>
      <c r="D10" s="17" t="inlineStr">
        <is>
          <t>팀장(1차 평가자)</t>
        </is>
      </c>
      <c r="E10" s="16" t="inlineStr">
        <is>
          <t>T3 기준 이탈</t>
        </is>
      </c>
      <c r="F10" s="16" t="inlineStr">
        <is>
          <t>◐ purple</t>
        </is>
      </c>
      <c r="G10" s="17" t="inlineStr">
        <is>
          <t>B님 핵심결과 6건 중 5건이 난이도 C예요</t>
        </is>
      </c>
      <c r="H10" s="17" t="inlineStr">
        <is>
          <t>같은 팀 난이도 C 비중은 38%예요</t>
        </is>
      </c>
      <c r="I10" s="17" t="inlineStr">
        <is>
          <t>-</t>
        </is>
      </c>
      <c r="J10" s="17" t="inlineStr">
        <is>
          <t>-</t>
        </is>
      </c>
      <c r="K10" s="17" t="inlineStr">
        <is>
          <t>-</t>
        </is>
      </c>
      <c r="L10" s="17" t="inlineStr">
        <is>
          <t>-</t>
        </is>
      </c>
      <c r="M10" s="17" t="inlineStr">
        <is>
          <t>-</t>
        </is>
      </c>
      <c r="N10" s="16" t="inlineStr">
        <is>
          <t>-</t>
        </is>
      </c>
      <c r="O10" s="17" t="inlineStr">
        <is>
          <t>-</t>
        </is>
      </c>
      <c r="P10" s="17" t="inlineStr">
        <is>
          <t>-</t>
        </is>
      </c>
      <c r="Q10" s="17" t="inlineStr">
        <is>
          <t>-</t>
        </is>
      </c>
      <c r="R10" s="17" t="inlineStr">
        <is>
          <t>-</t>
        </is>
      </c>
    </row>
    <row r="11" ht="78" customHeight="1">
      <c r="A11" s="14" t="n">
        <v>9</v>
      </c>
      <c r="B11" s="3" t="inlineStr">
        <is>
          <t>목표수립-팀장-04</t>
        </is>
      </c>
      <c r="C11" s="14" t="inlineStr">
        <is>
          <t>목표수립</t>
        </is>
      </c>
      <c r="D11" s="3" t="inlineStr">
        <is>
          <t>팀장(1차 평가자)</t>
        </is>
      </c>
      <c r="E11" s="14" t="inlineStr">
        <is>
          <t>T4 연결 불일치</t>
        </is>
      </c>
      <c r="F11" s="14" t="inlineStr">
        <is>
          <t>◎ blue</t>
        </is>
      </c>
      <c r="G11" s="3" t="inlineStr">
        <is>
          <t>B님 목표 2건 중 1건이 팀과 안 이어져요</t>
        </is>
      </c>
      <c r="H11" s="3" t="inlineStr">
        <is>
          <t>팀 목표 3건 중 어디에도 연결돼 있지 않아요</t>
        </is>
      </c>
      <c r="I11" s="3" t="inlineStr">
        <is>
          <t>&lt;b&gt;B님&lt;/b&gt; 목표 2건 중 1건에 상위 목표 연결이 없어요</t>
        </is>
      </c>
      <c r="J11" s="3" t="inlineStr">
        <is>
          <t>전사 기준 상위 목표 연결률은 &lt;b&gt;95%&lt;/b&gt;예요</t>
        </is>
      </c>
      <c r="K11" s="3" t="inlineStr">
        <is>
          <t>우리 팀에는 연결 후보가 되는 &lt;b&gt;팀 목표 3건&lt;/b&gt;이 있어요</t>
        </is>
      </c>
      <c r="L11" s="3" t="inlineStr">
        <is>
          <t>행동 · 목표 연결 수정 초안 (수정할 수 있어요)</t>
        </is>
      </c>
      <c r="M11" s="3" t="inlineStr">
        <is>
          <t>연결이 빠진 B님 목표 1건을 우리 팀 목표 3건 가운데 가장 가까운 한 건에 연결합니다. B님 목표와 핵심결과 문장, B님 직무 프로파일의 과업을 비교해 기여 지점이 겹치는 팀 목표를 후보로 두고, 연결 사유를 함께 남깁니다.</t>
        </is>
      </c>
      <c r="N11" s="14" t="inlineStr">
        <is>
          <t>이 팀 목표로 연결</t>
        </is>
      </c>
      <c r="O11" s="3" t="inlineStr">
        <is>
          <t>B님 목표를 어느 팀 목표에 붙일지 후보를 뽑아봤어요. 같이 골라볼까요?</t>
        </is>
      </c>
      <c r="P11" s="3" t="inlineStr">
        <is>
          <t>다른 후보 보기 · 연결 사유 넣어서 · B님께 요청으로</t>
        </is>
      </c>
      <c r="Q11" s="3" t="inlineStr">
        <is>
          <t>팀 목표로 연결했어요</t>
        </is>
      </c>
      <c r="R11" s="3" t="inlineStr">
        <is>
          <t>연결 변경이 수정 이력과 함께 기록됩니다.</t>
        </is>
      </c>
    </row>
    <row r="12" ht="78" customHeight="1">
      <c r="A12" s="14" t="n">
        <v>10</v>
      </c>
      <c r="B12" s="3" t="inlineStr">
        <is>
          <t>목표수립-팀장-05</t>
        </is>
      </c>
      <c r="C12" s="14" t="inlineStr">
        <is>
          <t>목표수립</t>
        </is>
      </c>
      <c r="D12" s="3" t="inlineStr">
        <is>
          <t>팀장(1차 평가자)</t>
        </is>
      </c>
      <c r="E12" s="14" t="inlineStr">
        <is>
          <t>T5 상황 변동</t>
        </is>
      </c>
      <c r="F12" s="14" t="inlineStr">
        <is>
          <t>◆ green</t>
        </is>
      </c>
      <c r="G12" s="3" t="inlineStr">
        <is>
          <t>B님 목표 3건이 이전 조직에 걸려 있어요</t>
        </is>
      </c>
      <c r="H12" s="3" t="inlineStr">
        <is>
          <t>7월 1일 발령 뒤 7일이 지났는데 그대로예요</t>
        </is>
      </c>
      <c r="I12" s="3" t="inlineStr">
        <is>
          <t>&lt;b&gt;B님&lt;/b&gt; 목표 3건이 모두 이전 조직 목표에 연결돼 있어요</t>
        </is>
      </c>
      <c r="J12" s="3" t="inlineStr">
        <is>
          <t>소속 조직이 바뀐 지 &lt;b&gt;7일&lt;/b&gt;이 지났어요</t>
        </is>
      </c>
      <c r="K12" s="3" t="inlineStr">
        <is>
          <t>발령일 &lt;b&gt;2026-07-01&lt;/b&gt; 이후 바뀐 직무 프로파일을 확인했어요</t>
        </is>
      </c>
      <c r="L12" s="3" t="inlineStr">
        <is>
          <t>행동 · 목표 재설정 대화 아젠다 초안 (수정할 수 있어요)</t>
        </is>
      </c>
      <c r="M12" s="3" t="inlineStr">
        <is>
          <t>1) 이전 조직 목표에 걸린 3건 가운데 그대로 가져올 목표 확인
2) 새 직무 프로파일의 과업에 맞춰 새로 만들 목표 정리
3) 남은 목표 기간에 맞춘 목표값 재조정 합의</t>
        </is>
      </c>
      <c r="N12" s="14" t="inlineStr">
        <is>
          <t>이 아젠다로 대화 잡기</t>
        </is>
      </c>
      <c r="O12" s="3" t="inlineStr">
        <is>
          <t>B님과 나눌 목표 재설정 아젠다를 잡아봤어요. 항목을 더하거나 뺄까요?</t>
        </is>
      </c>
      <c r="P12" s="3" t="inlineStr">
        <is>
          <t>지원 얘기도 넣어줘 · 새 팀 목표 보기 · 더 짧게</t>
        </is>
      </c>
      <c r="Q12" s="3" t="inlineStr">
        <is>
          <t>대화 일정을 잡았어요</t>
        </is>
      </c>
      <c r="R12" s="3" t="inlineStr">
        <is>
          <t>이야기할 항목이 1on1 기록에 함께 남습니다.</t>
        </is>
      </c>
    </row>
    <row r="13" ht="78" customHeight="1">
      <c r="A13" s="14" t="n">
        <v>11</v>
      </c>
      <c r="B13" s="3" t="inlineStr">
        <is>
          <t>목표수립-상위조직장-01</t>
        </is>
      </c>
      <c r="C13" s="14" t="inlineStr">
        <is>
          <t>목표수립</t>
        </is>
      </c>
      <c r="D13" s="3" t="inlineStr">
        <is>
          <t>상위 조직장(2차 평가자)</t>
        </is>
      </c>
      <c r="E13" s="14" t="inlineStr">
        <is>
          <t>T1 기한 도래</t>
        </is>
      </c>
      <c r="F13" s="14" t="inlineStr">
        <is>
          <t>◈ amber</t>
        </is>
      </c>
      <c r="G13" s="3" t="inlineStr">
        <is>
          <t>하위 3개 팀 목표 수립이 30% 아래예요</t>
        </is>
      </c>
      <c r="H13" s="3" t="inlineStr">
        <is>
          <t>마감 사흘 전인데 내 조직 평균은 62%예요</t>
        </is>
      </c>
      <c r="I13" s="3" t="inlineStr">
        <is>
          <t>하위 8개 팀 중 &lt;b&gt;3개 팀&lt;/b&gt;의 수립률이 30% 미만이에요</t>
        </is>
      </c>
      <c r="J13" s="3" t="inlineStr">
        <is>
          <t>내 조직 전체 평균 수립률은 &lt;b&gt;62%&lt;/b&gt;예요</t>
        </is>
      </c>
      <c r="K13" s="3" t="inlineStr">
        <is>
          <t>목표 수립 마감까지 &lt;b&gt;3일&lt;/b&gt; 남았고 지난 분기 같은 시점과 비교했어요</t>
        </is>
      </c>
      <c r="L13" s="3" t="inlineStr">
        <is>
          <t>행동 · 마감 안내 초안 (수정할 수 있어요)</t>
        </is>
      </c>
      <c r="M13" s="3" t="inlineStr">
        <is>
          <t>목표 수립 마감까지 3일 남았습니다. 우리 조직 평균 수립률은 62%인데 세 팀은 30%에 못 미칩니다. 팀별 남은 인원과 마감일을 정리해 보내드리니, 팀원 목표 등록을 마감 전에 마무리해 주시기 바랍니다.</t>
        </is>
      </c>
      <c r="N13" s="14" t="inlineStr">
        <is>
          <t>마감 안내 보내기</t>
        </is>
      </c>
      <c r="O13" s="3" t="inlineStr">
        <is>
          <t>수립이 늦은 세 팀장에게 보낼 마감 안내를 정리했어요. 톤을 조정할까요?</t>
        </is>
      </c>
      <c r="P13" s="3" t="inlineStr">
        <is>
          <t>팀별 맞춤으로 · 수립률 표 첨부 · 더 부드럽게</t>
        </is>
      </c>
      <c r="Q13" s="3" t="inlineStr">
        <is>
          <t>마감 안내를 보냈어요</t>
        </is>
      </c>
      <c r="R13" s="3" t="inlineStr">
        <is>
          <t>세 팀장에게 전달되고 발송 기록이 남습니다.</t>
        </is>
      </c>
    </row>
    <row r="14" ht="78" customHeight="1">
      <c r="A14" s="14" t="n">
        <v>12</v>
      </c>
      <c r="B14" s="3" t="inlineStr">
        <is>
          <t>목표수립-상위조직장-02</t>
        </is>
      </c>
      <c r="C14" s="14" t="inlineStr">
        <is>
          <t>목표수립</t>
        </is>
      </c>
      <c r="D14" s="3" t="inlineStr">
        <is>
          <t>상위 조직장(2차 평가자)</t>
        </is>
      </c>
      <c r="E14" s="14" t="inlineStr">
        <is>
          <t>T2 작성 공백</t>
        </is>
      </c>
      <c r="F14" s="14" t="inlineStr">
        <is>
          <t>◇ coral</t>
        </is>
      </c>
      <c r="G14" s="3" t="inlineStr">
        <is>
          <t>B팀장 검토가 목표 7건에서 멈춰 있어요</t>
        </is>
      </c>
      <c r="H14" s="3" t="inlineStr">
        <is>
          <t>14일 넘게 대기 중인데 조직 평균은 3일이에요</t>
        </is>
      </c>
      <c r="I14" s="3" t="inlineStr">
        <is>
          <t>B팀 팀원 목표 9건 중 &lt;b&gt;7건&lt;/b&gt;이 검토 대기예요</t>
        </is>
      </c>
      <c r="J14" s="3" t="inlineStr">
        <is>
          <t>내 조직 평균 검토 대기는 &lt;b&gt;3일&lt;/b&gt;이에요</t>
        </is>
      </c>
      <c r="K14" s="3" t="inlineStr">
        <is>
          <t>이 7건은 &lt;b&gt;14일&lt;/b&gt; 넘게 확정되지 않은 상태예요</t>
        </is>
      </c>
      <c r="L14" s="3" t="inlineStr">
        <is>
          <t>행동 · 검토 요청 초안 (수정할 수 있어요)</t>
        </is>
      </c>
      <c r="M14" s="3" t="inlineStr">
        <is>
          <t>B팀 팀원 목표 9건 가운데 7건이 14일 넘게 검토 대기 상태입니다. 우리 조직 평균 대기가 3일인 점을 감안해, 남아 있는 7건의 목표 검토를 마무리해 주시기를 요청드립니다. 필요하시면 대상 목표 목록을 함께 보내드립니다.</t>
        </is>
      </c>
      <c r="N14" s="14" t="inlineStr">
        <is>
          <t>검토 요청 보내기</t>
        </is>
      </c>
      <c r="O14" s="3" t="inlineStr">
        <is>
          <t>B팀장에게 보낼 검토 요청을 정리했어요. 기한이나 표현을 바꿔드릴까요?</t>
        </is>
      </c>
      <c r="P14" s="3" t="inlineStr">
        <is>
          <t>기한 명시해줘 · 대상 목표 목록 · 더 정중하게</t>
        </is>
      </c>
      <c r="Q14" s="3" t="inlineStr">
        <is>
          <t>검토를 요청했어요</t>
        </is>
      </c>
      <c r="R14" s="3" t="inlineStr">
        <is>
          <t>요청 이력과 승인 흐름에 함께 기록됩니다.</t>
        </is>
      </c>
    </row>
    <row r="15" ht="78" customHeight="1">
      <c r="A15" s="14" t="n">
        <v>13</v>
      </c>
      <c r="B15" s="3" t="inlineStr">
        <is>
          <t>목표수립-상위조직장-03</t>
        </is>
      </c>
      <c r="C15" s="14" t="inlineStr">
        <is>
          <t>목표수립</t>
        </is>
      </c>
      <c r="D15" s="3" t="inlineStr">
        <is>
          <t>상위 조직장(2차 평가자)</t>
        </is>
      </c>
      <c r="E15" s="14" t="inlineStr">
        <is>
          <t>T3 기준 이탈</t>
        </is>
      </c>
      <c r="F15" s="14" t="inlineStr">
        <is>
          <t>◐ purple</t>
        </is>
      </c>
      <c r="G15" s="3" t="inlineStr">
        <is>
          <t>C팀 핵심결과 14건이 난이도 C예요</t>
        </is>
      </c>
      <c r="H15" s="3" t="inlineStr">
        <is>
          <t>18건 중 14건이고 조직 평균은 38%예요</t>
        </is>
      </c>
      <c r="I15" s="3" t="inlineStr">
        <is>
          <t>C팀 핵심결과 18건 중 &lt;b&gt;14건&lt;/b&gt;이 난이도 C예요</t>
        </is>
      </c>
      <c r="J15" s="3" t="inlineStr">
        <is>
          <t>내 조직 평균 난이도 C 비중은 &lt;b&gt;38%&lt;/b&gt;예요</t>
        </is>
      </c>
      <c r="K15" s="3" t="inlineStr">
        <is>
          <t>핵심결과마다 붙은 &lt;b&gt;난이도 근거&lt;/b&gt; 문장을 함께 살펴봤어요</t>
        </is>
      </c>
      <c r="L15" s="3" t="inlineStr">
        <is>
          <t>행동 · 목표 검토 회의 아젠다 초안 (수정할 수 있어요)</t>
        </is>
      </c>
      <c r="M15" s="3" t="inlineStr">
        <is>
          <t>1) C팀 핵심결과 18건 중 14건이 난이도 C인 배경 확인
2) 조직 평균 38%와의 차이를 난이도 근거 문장으로 대조
3) 상향 조정할 핵심결과와 그대로 둘 핵심결과 구분 합의</t>
        </is>
      </c>
      <c r="N15" s="14" t="inlineStr">
        <is>
          <t>이 아젠다로 회의 잡기</t>
        </is>
      </c>
      <c r="O15" s="3" t="inlineStr">
        <is>
          <t>C팀 난이도 분포를 비교해 회의 아젠다를 잡아봤어요. 항목을 조정할까요?</t>
        </is>
      </c>
      <c r="P15" s="3" t="inlineStr">
        <is>
          <t>지난 분기와 비교 · 근거 문장 보기 · 더 짧게</t>
        </is>
      </c>
      <c r="Q15" s="3" t="inlineStr">
        <is>
          <t>회의를 잡았어요</t>
        </is>
      </c>
      <c r="R15" s="3" t="inlineStr">
        <is>
          <t>이야기할 항목이 목표 검토 회의 기록에 남습니다.</t>
        </is>
      </c>
    </row>
    <row r="16" ht="28" customHeight="1">
      <c r="A16" s="16" t="n">
        <v>14</v>
      </c>
      <c r="B16" s="17" t="inlineStr">
        <is>
          <t>목표수립-상위조직장-04</t>
        </is>
      </c>
      <c r="C16" s="16" t="inlineStr">
        <is>
          <t>목표수립</t>
        </is>
      </c>
      <c r="D16" s="17" t="inlineStr">
        <is>
          <t>상위 조직장(2차 평가자)</t>
        </is>
      </c>
      <c r="E16" s="16" t="inlineStr">
        <is>
          <t>T3 기준 이탈</t>
        </is>
      </c>
      <c r="F16" s="16" t="inlineStr">
        <is>
          <t>◐ purple</t>
        </is>
      </c>
      <c r="G16" s="17" t="inlineStr">
        <is>
          <t>팀별 1인당 목표 수가 1.2~2.4건이에요</t>
        </is>
      </c>
      <c r="H16" s="17" t="inlineStr">
        <is>
          <t>내 조직 평균은 1인당 1.7건이에요</t>
        </is>
      </c>
      <c r="I16" s="17" t="inlineStr">
        <is>
          <t>-</t>
        </is>
      </c>
      <c r="J16" s="17" t="inlineStr">
        <is>
          <t>-</t>
        </is>
      </c>
      <c r="K16" s="17" t="inlineStr">
        <is>
          <t>-</t>
        </is>
      </c>
      <c r="L16" s="17" t="inlineStr">
        <is>
          <t>-</t>
        </is>
      </c>
      <c r="M16" s="17" t="inlineStr">
        <is>
          <t>-</t>
        </is>
      </c>
      <c r="N16" s="16" t="inlineStr">
        <is>
          <t>-</t>
        </is>
      </c>
      <c r="O16" s="17" t="inlineStr">
        <is>
          <t>-</t>
        </is>
      </c>
      <c r="P16" s="17" t="inlineStr">
        <is>
          <t>-</t>
        </is>
      </c>
      <c r="Q16" s="17" t="inlineStr">
        <is>
          <t>-</t>
        </is>
      </c>
      <c r="R16" s="17" t="inlineStr">
        <is>
          <t>-</t>
        </is>
      </c>
    </row>
    <row r="17" ht="78" customHeight="1">
      <c r="A17" s="14" t="n">
        <v>15</v>
      </c>
      <c r="B17" s="3" t="inlineStr">
        <is>
          <t>목표수립-상위조직장-05</t>
        </is>
      </c>
      <c r="C17" s="14" t="inlineStr">
        <is>
          <t>목표수립</t>
        </is>
      </c>
      <c r="D17" s="3" t="inlineStr">
        <is>
          <t>상위 조직장(2차 평가자)</t>
        </is>
      </c>
      <c r="E17" s="14" t="inlineStr">
        <is>
          <t>T4 연결 불일치</t>
        </is>
      </c>
      <c r="F17" s="14" t="inlineStr">
        <is>
          <t>◎ blue</t>
        </is>
      </c>
      <c r="G17" s="3" t="inlineStr">
        <is>
          <t>하위 팀 목표 4건이 상위와 안 이어져요</t>
        </is>
      </c>
      <c r="H17" s="3" t="inlineStr">
        <is>
          <t>22건 중 4건인데 제도 기준은 전 건 연결이에요</t>
        </is>
      </c>
      <c r="I17" s="3" t="inlineStr">
        <is>
          <t>하위 팀 목표 22건 중 &lt;b&gt;4건&lt;/b&gt;에 상위 연결이 없어요</t>
        </is>
      </c>
      <c r="J17" s="3" t="inlineStr">
        <is>
          <t>제도 기준은 &lt;b&gt;전 건 상위 목표 연결&lt;/b&gt;이에요</t>
        </is>
      </c>
      <c r="K17" s="3" t="inlineStr">
        <is>
          <t>연결 후보가 되는 &lt;b&gt;내 조직 목표와 전략과제&lt;/b&gt;를 정리했어요</t>
        </is>
      </c>
      <c r="L17" s="3" t="inlineStr">
        <is>
          <t>행동 · 목표 정렬 요청 초안 (수정할 수 있어요)</t>
        </is>
      </c>
      <c r="M17" s="3" t="inlineStr">
        <is>
          <t>하위 팀 목표 22건 가운데 4건이 내 조직 목표에 연결되지 않았습니다. 제도 기준은 전 건 연결이므로, 해당 4건의 소유 팀에 상위 목표 연결을 맞춰 주시기를 요청드립니다. 목표별 연결 후보와 그 근거를 함께 보내드립니다.</t>
        </is>
      </c>
      <c r="N17" s="14" t="inlineStr">
        <is>
          <t>정렬 요청 보내기</t>
        </is>
      </c>
      <c r="O17" s="3" t="inlineStr">
        <is>
          <t>연결이 빠진 4건과 후보를 정리해 요청 초안을 만들었어요. 다듬어볼까요?</t>
        </is>
      </c>
      <c r="P17" s="3" t="inlineStr">
        <is>
          <t>팀별로 나눠서 · 연결 후보 보기 · 기한 넣어서</t>
        </is>
      </c>
      <c r="Q17" s="3" t="inlineStr">
        <is>
          <t>정렬을 요청했어요</t>
        </is>
      </c>
      <c r="R17" s="3" t="inlineStr">
        <is>
          <t>요청 이력과 승인 흐름에 함께 남습니다.</t>
        </is>
      </c>
    </row>
    <row r="18" ht="78" customHeight="1">
      <c r="A18" s="14" t="n">
        <v>16</v>
      </c>
      <c r="B18" s="3" t="inlineStr">
        <is>
          <t>목표수립-상위조직장-06</t>
        </is>
      </c>
      <c r="C18" s="14" t="inlineStr">
        <is>
          <t>목표수립</t>
        </is>
      </c>
      <c r="D18" s="3" t="inlineStr">
        <is>
          <t>상위 조직장(2차 평가자)</t>
        </is>
      </c>
      <c r="E18" s="14" t="inlineStr">
        <is>
          <t>T5 상황 변동</t>
        </is>
      </c>
      <c r="F18" s="14" t="inlineStr">
        <is>
          <t>◆ green</t>
        </is>
      </c>
      <c r="G18" s="3" t="inlineStr">
        <is>
          <t>팀 통합 21일째인데 목표는 그대로예요</t>
        </is>
      </c>
      <c r="H18" s="3" t="inlineStr">
        <is>
          <t>7월 1일 통합 뒤 목표 소유 변경이 0건이에요</t>
        </is>
      </c>
      <c r="I18" s="3" t="inlineStr">
        <is>
          <t>&lt;b&gt;하위 2개 팀&lt;/b&gt;이 통합된 뒤 목표 소유 변경이 0건이에요</t>
        </is>
      </c>
      <c r="J18" s="3" t="inlineStr">
        <is>
          <t>통합일 &lt;b&gt;7월 1일&lt;/b&gt; 이후 21일이 지났어요</t>
        </is>
      </c>
      <c r="K18" s="3" t="inlineStr">
        <is>
          <t>바뀐 조직도와 &lt;b&gt;영향받는 목표·핵심결과&lt;/b&gt; 목록을 정리했어요</t>
        </is>
      </c>
      <c r="L18" s="3" t="inlineStr">
        <is>
          <t>행동 · 목표 재정렬 요청 초안 (수정할 수 있어요)</t>
        </is>
      </c>
      <c r="M18" s="3" t="inlineStr">
        <is>
          <t>7월 1일 두 팀이 통합된 뒤 21일이 지났지만 목표 소유 팀 변경이 아직 0건입니다. 통합된 팀의 목표와 핵심결과 소유를 새 조직 기준으로 다시 맞춰 주시기를 요청드립니다. 이동한 구성원 명단과 재정렬 후보 배치안을 함께 보내드립니다.</t>
        </is>
      </c>
      <c r="N18" s="14" t="inlineStr">
        <is>
          <t>재정렬 요청 보내기</t>
        </is>
      </c>
      <c r="O18" s="3" t="inlineStr">
        <is>
          <t>통합 이후 남은 목표와 재정렬 후보를 모았어요. 요청 문구를 다듬어볼까요?</t>
        </is>
      </c>
      <c r="P18" s="3" t="inlineStr">
        <is>
          <t>배치안 함께 · 기한 넣어서 · 더 간단하게</t>
        </is>
      </c>
      <c r="Q18" s="3" t="inlineStr">
        <is>
          <t>재정렬을 요청했어요</t>
        </is>
      </c>
      <c r="R18" s="3" t="inlineStr">
        <is>
          <t>요청 이력과 조직별 이행 상태가 함께 남습니다.</t>
        </is>
      </c>
    </row>
    <row r="19" ht="78" customHeight="1">
      <c r="A19" s="14" t="n">
        <v>17</v>
      </c>
      <c r="B19" s="3" t="inlineStr">
        <is>
          <t>목표수립-HR경영진-01</t>
        </is>
      </c>
      <c r="C19" s="14" t="inlineStr">
        <is>
          <t>목표수립</t>
        </is>
      </c>
      <c r="D19" s="3" t="inlineStr">
        <is>
          <t>HR·경영진</t>
        </is>
      </c>
      <c r="E19" s="14" t="inlineStr">
        <is>
          <t>T1 기한 도래</t>
        </is>
      </c>
      <c r="F19" s="14" t="inlineStr">
        <is>
          <t>◈ amber</t>
        </is>
      </c>
      <c r="G19" s="3" t="inlineStr">
        <is>
          <t>마감 사흘 전 전사 확정률이 68%예요</t>
        </is>
      </c>
      <c r="H19" s="3" t="inlineStr">
        <is>
          <t>제도 기준 90%인데 미확정 조직이 9곳이에요</t>
        </is>
      </c>
      <c r="I19" s="3" t="inlineStr">
        <is>
          <t>전사 목표 확정률이 &lt;b&gt;68%&lt;/b&gt;예요 (제도 기준 90%)</t>
        </is>
      </c>
      <c r="J19" s="3" t="inlineStr">
        <is>
          <t>전체 38개 조직 중 &lt;b&gt;9개 조직&lt;/b&gt;이 미확정이에요</t>
        </is>
      </c>
      <c r="K19" s="3" t="inlineStr">
        <is>
          <t>기준 시점 &lt;b&gt;2026-07-16&lt;/b&gt;, 마감까지 3일 남았어요</t>
        </is>
      </c>
      <c r="L19" s="3" t="inlineStr">
        <is>
          <t>행동 · 독려 안내 초안 (수정할 수 있어요)</t>
        </is>
      </c>
      <c r="M19" s="3" t="inlineStr">
        <is>
          <t>목표수립 마감까지 3일 남았습니다. 전사 확정률은 68%로 제도 기준인 90%에 못 미치며, 미확정 조직은 전체 38개 가운데 9개입니다. 조직별 남은 건수를 함께 보내드리니 마감 전에 목표 확정을 마무리해 주시기 바랍니다.</t>
        </is>
      </c>
      <c r="N19" s="14" t="inlineStr">
        <is>
          <t>독려 안내 발송</t>
        </is>
      </c>
      <c r="O19" s="3" t="inlineStr">
        <is>
          <t>미확정 조직 9곳에 보낼 독려 안내를 정리했어요. 조직별로 나눠드릴까요?</t>
        </is>
      </c>
      <c r="P19" s="3" t="inlineStr">
        <is>
          <t>조직별 맞춤으로 · 확정률 표 첨부 · 더 부드럽게</t>
        </is>
      </c>
      <c r="Q19" s="3" t="inlineStr">
        <is>
          <t>독려 안내를 발송했어요</t>
        </is>
      </c>
      <c r="R19" s="3" t="inlineStr">
        <is>
          <t>9개 조직에 전달되고 발송 기록이 남습니다.</t>
        </is>
      </c>
    </row>
    <row r="20" ht="28" customHeight="1">
      <c r="A20" s="16" t="n">
        <v>18</v>
      </c>
      <c r="B20" s="17" t="inlineStr">
        <is>
          <t>목표수립-HR경영진-02</t>
        </is>
      </c>
      <c r="C20" s="16" t="inlineStr">
        <is>
          <t>목표수립</t>
        </is>
      </c>
      <c r="D20" s="17" t="inlineStr">
        <is>
          <t>HR·경영진</t>
        </is>
      </c>
      <c r="E20" s="16" t="inlineStr">
        <is>
          <t>T2 작성 공백</t>
        </is>
      </c>
      <c r="F20" s="16" t="inlineStr">
        <is>
          <t>◇ coral</t>
        </is>
      </c>
      <c r="G20" s="17" t="inlineStr">
        <is>
          <t>목표가 여러 조직에서 그대로 멈춰 있어요</t>
        </is>
      </c>
      <c r="H20" s="17" t="inlineStr">
        <is>
          <t>최종 수정 일시가 없어 정체 기간을 셀 수 없어요</t>
        </is>
      </c>
      <c r="I20" s="17" t="inlineStr">
        <is>
          <t>-</t>
        </is>
      </c>
      <c r="J20" s="17" t="inlineStr">
        <is>
          <t>-</t>
        </is>
      </c>
      <c r="K20" s="17" t="inlineStr">
        <is>
          <t>-</t>
        </is>
      </c>
      <c r="L20" s="17" t="inlineStr">
        <is>
          <t>-</t>
        </is>
      </c>
      <c r="M20" s="17" t="inlineStr">
        <is>
          <t>-</t>
        </is>
      </c>
      <c r="N20" s="16" t="inlineStr">
        <is>
          <t>-</t>
        </is>
      </c>
      <c r="O20" s="17" t="inlineStr">
        <is>
          <t>-</t>
        </is>
      </c>
      <c r="P20" s="17" t="inlineStr">
        <is>
          <t>-</t>
        </is>
      </c>
      <c r="Q20" s="17" t="inlineStr">
        <is>
          <t>-</t>
        </is>
      </c>
      <c r="R20" s="17" t="inlineStr">
        <is>
          <t>-</t>
        </is>
      </c>
    </row>
    <row r="21" ht="78" customHeight="1">
      <c r="A21" s="14" t="n">
        <v>19</v>
      </c>
      <c r="B21" s="3" t="inlineStr">
        <is>
          <t>목표수립-HR경영진-03</t>
        </is>
      </c>
      <c r="C21" s="14" t="inlineStr">
        <is>
          <t>목표수립</t>
        </is>
      </c>
      <c r="D21" s="3" t="inlineStr">
        <is>
          <t>HR·경영진</t>
        </is>
      </c>
      <c r="E21" s="14" t="inlineStr">
        <is>
          <t>T3 기준 이탈</t>
        </is>
      </c>
      <c r="F21" s="14" t="inlineStr">
        <is>
          <t>◐ purple</t>
        </is>
      </c>
      <c r="G21" s="3" t="inlineStr">
        <is>
          <t>A조직 난이도 C 비중이 62%예요</t>
        </is>
      </c>
      <c r="H21" s="3" t="inlineStr">
        <is>
          <t>제도 기준 40% 이하인데 전사는 34%예요</t>
        </is>
      </c>
      <c r="I21" s="3" t="inlineStr">
        <is>
          <t>&lt;b&gt;A조직&lt;/b&gt; 핵심결과 21건 중 난이도 C 비중이 62%예요</t>
        </is>
      </c>
      <c r="J21" s="3" t="inlineStr">
        <is>
          <t>제도 기준은 &lt;b&gt;40% 이하&lt;/b&gt;, 전사 평균은 34%예요</t>
        </is>
      </c>
      <c r="K21" s="3" t="inlineStr">
        <is>
          <t>대상 핵심결과 &lt;b&gt;21건&lt;/b&gt;의 난이도 근거 문장을 살펴봤어요</t>
        </is>
      </c>
      <c r="L21" s="3" t="inlineStr">
        <is>
          <t>행동 · 난이도 재검토 요청 초안 (수정할 수 있어요)</t>
        </is>
      </c>
      <c r="M21" s="3" t="inlineStr">
        <is>
          <t>A조직의 핵심결과 21건 중 난이도 C 비중이 62%로, 제도 기준인 40% 이하와 전사 평균 34%를 모두 웃돕니다. 해당 조직에 핵심결과 난이도 재검토를 요청드리며, 난이도 근거 문장과 전사 분포 비교표를 함께 보내드립니다.</t>
        </is>
      </c>
      <c r="N21" s="14" t="inlineStr">
        <is>
          <t>재검토 요청</t>
        </is>
      </c>
      <c r="O21" s="3" t="inlineStr">
        <is>
          <t>A조직 난이도 분포를 전사와 비교해 요청 초안을 만들었어요. 조정할까요?</t>
        </is>
      </c>
      <c r="P21" s="3" t="inlineStr">
        <is>
          <t>회신 기한 넣어서 · 직무별로 나눠서 · 분포표 첨부</t>
        </is>
      </c>
      <c r="Q21" s="3" t="inlineStr">
        <is>
          <t>재검토를 요청했어요</t>
        </is>
      </c>
      <c r="R21" s="3" t="inlineStr">
        <is>
          <t>요청 이력과 조직별 회신 상태가 함께 남습니다.</t>
        </is>
      </c>
    </row>
    <row r="22" ht="78" customHeight="1">
      <c r="A22" s="14" t="n">
        <v>20</v>
      </c>
      <c r="B22" s="3" t="inlineStr">
        <is>
          <t>목표수립-HR경영진-04</t>
        </is>
      </c>
      <c r="C22" s="14" t="inlineStr">
        <is>
          <t>목표수립</t>
        </is>
      </c>
      <c r="D22" s="3" t="inlineStr">
        <is>
          <t>HR·경영진</t>
        </is>
      </c>
      <c r="E22" s="14" t="inlineStr">
        <is>
          <t>T3 기준 이탈</t>
        </is>
      </c>
      <c r="F22" s="14" t="inlineStr">
        <is>
          <t>◐ purple</t>
        </is>
      </c>
      <c r="G22" s="3" t="inlineStr">
        <is>
          <t>조직 간 난이도 격차가 62%포인트예요</t>
        </is>
      </c>
      <c r="H22" s="3" t="inlineStr">
        <is>
          <t>가장 높은 조직 62%, 가장 낮은 조직 0%예요</t>
        </is>
      </c>
      <c r="I22" s="3" t="inlineStr">
        <is>
          <t>조직 간 낮은 난이도 비중이 &lt;b&gt;최고 62%, 최저 0%&lt;/b&gt;예요</t>
        </is>
      </c>
      <c r="J22" s="3" t="inlineStr">
        <is>
          <t>가중치 상위 핵심결과의 평균 난이도가 조직별로 &lt;b&gt;1.4등급&lt;/b&gt; 벌어져요</t>
        </is>
      </c>
      <c r="K22" s="3" t="inlineStr">
        <is>
          <t>비교 대상은 &lt;b&gt;5개 이상 조직&lt;/b&gt;이고 기준 시점은 2026-07-16이에요</t>
        </is>
      </c>
      <c r="L22" s="3" t="inlineStr">
        <is>
          <t>행동 · 조회 옵션 (선택할 수 있어요)</t>
        </is>
      </c>
      <c r="M22" s="3" t="inlineStr">
        <is>
          <t>옵션 1) 조직별 난이도·가중치 분포표를 열어 62%포인트 격차가 어디서 벌어졌는지 확인합니다.
옵션 2) 조직 기능별로 묶어 비교합니다.
옵션 3) 지난 사이클 같은 분포와 겹쳐 봅니다.</t>
        </is>
      </c>
      <c r="N22" s="14" t="inlineStr">
        <is>
          <t>비교 화면 열기</t>
        </is>
      </c>
      <c r="O22" s="3" t="inlineStr">
        <is>
          <t>조직별 목표 눈높이 비교를 준비했어요. 어떤 기준으로 먼저 볼까요?</t>
        </is>
      </c>
      <c r="P22" s="3" t="inlineStr">
        <is>
          <t>조직 기능별로 · 지난 사이클과 · 가중치 상위만</t>
        </is>
      </c>
      <c r="Q22" s="3" t="inlineStr">
        <is>
          <t>비교 화면을 열었어요</t>
        </is>
      </c>
      <c r="R22" s="3" t="inlineStr">
        <is>
          <t>조회만 하는 화면이라 남는 기록은 없습니다.</t>
        </is>
      </c>
    </row>
    <row r="23" ht="78" customHeight="1">
      <c r="A23" s="14" t="n">
        <v>21</v>
      </c>
      <c r="B23" s="3" t="inlineStr">
        <is>
          <t>목표수립-HR경영진-05</t>
        </is>
      </c>
      <c r="C23" s="14" t="inlineStr">
        <is>
          <t>목표수립</t>
        </is>
      </c>
      <c r="D23" s="3" t="inlineStr">
        <is>
          <t>HR·경영진</t>
        </is>
      </c>
      <c r="E23" s="14" t="inlineStr">
        <is>
          <t>T4 연결 불일치</t>
        </is>
      </c>
      <c r="F23" s="14" t="inlineStr">
        <is>
          <t>◎ blue</t>
        </is>
      </c>
      <c r="G23" s="3" t="inlineStr">
        <is>
          <t>세 조직에서 목표 연결이 35% 끊겼어요</t>
        </is>
      </c>
      <c r="H23" s="3" t="inlineStr">
        <is>
          <t>대상 목표 14건인데 전사 미연결은 5%예요</t>
        </is>
      </c>
      <c r="I23" s="3" t="inlineStr">
        <is>
          <t>&lt;b&gt;3개 조직&lt;/b&gt;의 상위 목표 미연결 비중이 35%예요</t>
        </is>
      </c>
      <c r="J23" s="3" t="inlineStr">
        <is>
          <t>전사 전체 미연결 비중은 &lt;b&gt;5%&lt;/b&gt;에 그쳐요</t>
        </is>
      </c>
      <c r="K23" s="3" t="inlineStr">
        <is>
          <t>대상 목표는 &lt;b&gt;14건&lt;/b&gt;, 기준 시점은 2026-07-16이에요</t>
        </is>
      </c>
      <c r="L23" s="3" t="inlineStr">
        <is>
          <t>행동 · 연결 기준 안내 초안 (수정할 수 있어요)</t>
        </is>
      </c>
      <c r="M23" s="3" t="inlineStr">
        <is>
          <t>세 조직에서 상위 목표에 연결되지 않은 목표가 14건으로, 미연결 비중이 35%입니다. 전사 평균은 5%입니다. 목표 연결 기준과 각 조직의 상위 조직목표 제목을 함께 보내드리니, 미연결 목표의 연결을 보완해 주시기 바랍니다.</t>
        </is>
      </c>
      <c r="N23" s="14" t="inlineStr">
        <is>
          <t>기준 안내 발송</t>
        </is>
      </c>
      <c r="O23" s="3" t="inlineStr">
        <is>
          <t>미연결 14건과 연결 후보를 모아 안내 초안을 만들었어요. 다듬어볼까요?</t>
        </is>
      </c>
      <c r="P23" s="3" t="inlineStr">
        <is>
          <t>조직별로 나눠서 · 미연결 목록 첨부 · 보완 기한 넣어서</t>
        </is>
      </c>
      <c r="Q23" s="3" t="inlineStr">
        <is>
          <t>기준 안내를 발송했어요</t>
        </is>
      </c>
      <c r="R23" s="3" t="inlineStr">
        <is>
          <t>3개 조직에 전달되고 보완 요청 상태가 남습니다.</t>
        </is>
      </c>
    </row>
    <row r="24" ht="78" customHeight="1">
      <c r="A24" s="14" t="n">
        <v>22</v>
      </c>
      <c r="B24" s="3" t="inlineStr">
        <is>
          <t>목표수립-HR경영진-06</t>
        </is>
      </c>
      <c r="C24" s="14" t="inlineStr">
        <is>
          <t>목표수립</t>
        </is>
      </c>
      <c r="D24" s="3" t="inlineStr">
        <is>
          <t>HR·경영진</t>
        </is>
      </c>
      <c r="E24" s="14" t="inlineStr">
        <is>
          <t>T4 연결 불일치</t>
        </is>
      </c>
      <c r="F24" s="14" t="inlineStr">
        <is>
          <t>◎ blue</t>
        </is>
      </c>
      <c r="G24" s="3" t="inlineStr">
        <is>
          <t>두 본부의 전략과제 연결 목표가 0건이에요</t>
        </is>
      </c>
      <c r="H24" s="3" t="inlineStr">
        <is>
          <t>같은 본부에서 상위 미연결이 35%예요</t>
        </is>
      </c>
      <c r="I24" s="3" t="inlineStr">
        <is>
          <t>&lt;b&gt;본부 2곳&lt;/b&gt;의 전략과제 연결 목표가 0건이에요</t>
        </is>
      </c>
      <c r="J24" s="3" t="inlineStr">
        <is>
          <t>이 본부들의 상위 목표 미연결 비중은 &lt;b&gt;35%&lt;/b&gt;예요 (전사 5%)</t>
        </is>
      </c>
      <c r="K24" s="3" t="inlineStr">
        <is>
          <t>본부가 맡은 &lt;b&gt;전략과제와 과제별 KPI&lt;/b&gt; 현재값을 확인했어요</t>
        </is>
      </c>
      <c r="L24" s="3" t="inlineStr">
        <is>
          <t>행동 · 조직 목표 재정렬 요청 초안 (수정할 수 있어요)</t>
        </is>
      </c>
      <c r="M24" s="3" t="inlineStr">
        <is>
          <t>두 본부에서 하위 목표의 상위 목표 미연결 비중이 35%로 전사 5%를 크게 웃돌고, 본부가 맡은 전략과제에 연결된 목표는 0건입니다. 본부 목표 체계를 전략과제 기준으로 다시 맞춰 주시기를 요청드리며, 연결이 끊긴 목표 제목을 함께 보내드립니다.</t>
        </is>
      </c>
      <c r="N24" s="14" t="inlineStr">
        <is>
          <t>재정렬 요청</t>
        </is>
      </c>
      <c r="O24" s="3" t="inlineStr">
        <is>
          <t>두 본부의 전략과제 연결 상태를 정리해 요청 초안을 만들었어요. 조정할까요?</t>
        </is>
      </c>
      <c r="P24" s="3" t="inlineStr">
        <is>
          <t>전략과제별로 · KPI 현재값 첨부 · 회신 기한 넣어서</t>
        </is>
      </c>
      <c r="Q24" s="3" t="inlineStr">
        <is>
          <t>재정렬을 요청했어요</t>
        </is>
      </c>
      <c r="R24" s="3" t="inlineStr">
        <is>
          <t>요청 이력과 승인·회신 흐름에 함께 남습니다.</t>
        </is>
      </c>
    </row>
    <row r="25" ht="78" customHeight="1">
      <c r="A25" s="14" t="n">
        <v>23</v>
      </c>
      <c r="B25" s="3" t="inlineStr">
        <is>
          <t>목표수립-HR경영진-07</t>
        </is>
      </c>
      <c r="C25" s="14" t="inlineStr">
        <is>
          <t>목표수립</t>
        </is>
      </c>
      <c r="D25" s="3" t="inlineStr">
        <is>
          <t>HR·경영진</t>
        </is>
      </c>
      <c r="E25" s="14" t="inlineStr">
        <is>
          <t>T5 상황 변동</t>
        </is>
      </c>
      <c r="F25" s="14" t="inlineStr">
        <is>
          <t>◆ green</t>
        </is>
      </c>
      <c r="G25" s="3" t="inlineStr">
        <is>
          <t>개편 대상 34명 중 6명만 다시 세웠어요</t>
        </is>
      </c>
      <c r="H25" s="3" t="inlineStr">
        <is>
          <t>재수립률이 18%이고 소속이 바뀐 조직은 4곳이에요</t>
        </is>
      </c>
      <c r="I25" s="3" t="inlineStr">
        <is>
          <t>최근 30일 개편·발령 대상 &lt;b&gt;34명&lt;/b&gt; 중 6명이 다시 세웠어요</t>
        </is>
      </c>
      <c r="J25" s="3" t="inlineStr">
        <is>
          <t>재수립 비율이 &lt;b&gt;18%&lt;/b&gt;로 기준인 50%에 못 미쳐요</t>
        </is>
      </c>
      <c r="K25" s="3" t="inlineStr">
        <is>
          <t>소속이 바뀐 조직은 &lt;b&gt;4개&lt;/b&gt;이고 기준 시점은 2026-07-16이에요</t>
        </is>
      </c>
      <c r="L25" s="3" t="inlineStr">
        <is>
          <t>행동 · 재수립 기한 조정 요청 초안 (수정할 수 있어요)</t>
        </is>
      </c>
      <c r="M25" s="3" t="inlineStr">
        <is>
          <t>최근 30일 사이 개편·발령 대상 34명 가운데 목표를 다시 세운 인원은 6명, 재수립 비율은 18%입니다. 소속이 바뀐 조직 4곳에 대해 목표 재수립 기한을 다시 잡아 주시기를 요청드리며, 조직별 미재수립 건수와 새 조직목표 제목을 함께 보내드립니다.</t>
        </is>
      </c>
      <c r="N25" s="14" t="inlineStr">
        <is>
          <t>기한 조정 요청</t>
        </is>
      </c>
      <c r="O25" s="3" t="inlineStr">
        <is>
          <t>개편 대상 4개 조직의 재수립 현황을 모았어요. 기한을 며칠로 잡을까요?</t>
        </is>
      </c>
      <c r="P25" s="3" t="inlineStr">
        <is>
          <t>2주 뒤로 · 조직별로 다르게 · 현황표 첨부</t>
        </is>
      </c>
      <c r="Q25" s="3" t="inlineStr">
        <is>
          <t>기한 조정을 요청했어요</t>
        </is>
      </c>
      <c r="R25" s="3" t="inlineStr">
        <is>
          <t>요청 이력과 조직별 이행 상태가 함께 남습니다.</t>
        </is>
      </c>
    </row>
    <row r="26" ht="78" customHeight="1">
      <c r="A26" s="14" t="n">
        <v>24</v>
      </c>
      <c r="B26" s="3" t="inlineStr">
        <is>
          <t>중간점검-구성원-01</t>
        </is>
      </c>
      <c r="C26" s="14" t="inlineStr">
        <is>
          <t>중간점검</t>
        </is>
      </c>
      <c r="D26" s="3" t="inlineStr">
        <is>
          <t>구성원</t>
        </is>
      </c>
      <c r="E26" s="14" t="inlineStr">
        <is>
          <t>T2 작성 공백</t>
        </is>
      </c>
      <c r="F26" s="14" t="inlineStr">
        <is>
          <t>◇ coral</t>
        </is>
      </c>
      <c r="G26" s="3" t="inlineStr">
        <is>
          <t>마지막 체크인 이후 21일이 지났어요</t>
        </is>
      </c>
      <c r="H26" s="3" t="inlineStr">
        <is>
          <t>팀 평균 8일인데 목표 기간은 아직 남아 있어요</t>
        </is>
      </c>
      <c r="I26" s="3" t="inlineStr">
        <is>
          <t>마지막 체크인이 &lt;b&gt;21일 전&lt;/b&gt;에 멈춰 있어요</t>
        </is>
      </c>
      <c r="J26" s="3" t="inlineStr">
        <is>
          <t>같은 팀 체크인 간격은 평균 &lt;b&gt;8일&lt;/b&gt;이에요</t>
        </is>
      </c>
      <c r="K26" s="3" t="inlineStr">
        <is>
          <t>목표 기간이 아직 남아 있고 최근 활동 기록도 있어요</t>
        </is>
      </c>
      <c r="L26" s="3" t="inlineStr">
        <is>
          <t>행동 · 체크인 초안 (수정할 수 있어요)</t>
        </is>
      </c>
      <c r="M26" s="3" t="inlineStr">
        <is>
          <t>지난 체크인 이후 21일 동안 기록을 남기지 못했습니다. 그동안 진행한 활동을 모아 현재 진척을 갱신했고, 남은 목표 기간에는 팀 평균인 8일 간격에 맞춰 체크인을 이어가겠습니다.</t>
        </is>
      </c>
      <c r="N26" s="14" t="inlineStr">
        <is>
          <t>이대로 체크인</t>
        </is>
      </c>
      <c r="O26" s="3" t="inlineStr">
        <is>
          <t>지난 21일 활동을 모아 체크인 초안을 만들었어요. 길이를 조정해드릴까요?</t>
        </is>
      </c>
      <c r="P26" s="3" t="inlineStr">
        <is>
          <t>더 짧게 · 진척 수치 넣어서 · 막힌 일도 적어줘</t>
        </is>
      </c>
      <c r="Q26" s="3" t="inlineStr">
        <is>
          <t>체크인이 기록됐어요</t>
        </is>
      </c>
      <c r="R26" s="3" t="inlineStr">
        <is>
          <t>이 체크인은 다음 평가 근거로 함께 쌓입니다.</t>
        </is>
      </c>
    </row>
    <row r="27" ht="78" customHeight="1">
      <c r="A27" s="14" t="n">
        <v>25</v>
      </c>
      <c r="B27" s="3" t="inlineStr">
        <is>
          <t>중간점검-구성원-02</t>
        </is>
      </c>
      <c r="C27" s="14" t="inlineStr">
        <is>
          <t>중간점검</t>
        </is>
      </c>
      <c r="D27" s="3" t="inlineStr">
        <is>
          <t>구성원</t>
        </is>
      </c>
      <c r="E27" s="14" t="inlineStr">
        <is>
          <t>T3 기준 이탈</t>
        </is>
      </c>
      <c r="F27" s="14" t="inlineStr">
        <is>
          <t>◐ purple</t>
        </is>
      </c>
      <c r="G27" s="3" t="inlineStr">
        <is>
          <t>기간은 72% 지났는데 진척은 38%예요</t>
        </is>
      </c>
      <c r="H27" s="3" t="inlineStr">
        <is>
          <t>계획보다 34%포인트 뒤처져 있어요</t>
        </is>
      </c>
      <c r="I27" s="3" t="inlineStr">
        <is>
          <t>목표 &lt;b&gt;G-0142&lt;/b&gt; 진척률이 38%예요</t>
        </is>
      </c>
      <c r="J27" s="3" t="inlineStr">
        <is>
          <t>목표 기간은 이미 &lt;b&gt;72%&lt;/b&gt;가 지나갔어요</t>
        </is>
      </c>
      <c r="K27" s="3" t="inlineStr">
        <is>
          <t>계획 대비 &lt;b&gt;34%포인트&lt;/b&gt; 낮고 최근 체크인에 장애요인이 적혀 있어요</t>
        </is>
      </c>
      <c r="L27" s="3" t="inlineStr">
        <is>
          <t>행동 · 만회 계획 초안 (수정할 수 있어요)</t>
        </is>
      </c>
      <c r="M27" s="3" t="inlineStr">
        <is>
          <t>목표 기간이 72% 지난 시점에 진척률은 38%로, 계획 대비 34%포인트 뒤처져 있습니다. 지연 원인이 된 장애요인을 함께 정리했고, 남은 기간에는 뒤처진 핵심결과를 먼저 처리해 격차를 좁히겠습니다.</t>
        </is>
      </c>
      <c r="N27" s="14" t="inlineStr">
        <is>
          <t>만회 계획 담아 체크인</t>
        </is>
      </c>
      <c r="O27" s="3" t="inlineStr">
        <is>
          <t>뒤처진 핵심결과와 장애요인을 묶어 만회 계획 초안을 잡았어요. 다듬어드릴까요?</t>
        </is>
      </c>
      <c r="P27" s="3" t="inlineStr">
        <is>
          <t>원인만 짧게 · 일정 다시 짜줘 · 지원 요청 넣어서</t>
        </is>
      </c>
      <c r="Q27" s="3" t="inlineStr">
        <is>
          <t>만회 계획을 기록했어요</t>
        </is>
      </c>
      <c r="R27" s="3" t="inlineStr">
        <is>
          <t>장애요인과 만회 계획이 이번 회차 체크인에 남습니다.</t>
        </is>
      </c>
    </row>
    <row r="28" ht="78" customHeight="1">
      <c r="A28" s="14" t="n">
        <v>26</v>
      </c>
      <c r="B28" s="3" t="inlineStr">
        <is>
          <t>중간점검-구성원-03</t>
        </is>
      </c>
      <c r="C28" s="14" t="inlineStr">
        <is>
          <t>중간점검</t>
        </is>
      </c>
      <c r="D28" s="3" t="inlineStr">
        <is>
          <t>구성원</t>
        </is>
      </c>
      <c r="E28" s="14" t="inlineStr">
        <is>
          <t>T4 연결 불일치</t>
        </is>
      </c>
      <c r="F28" s="14" t="inlineStr">
        <is>
          <t>◎ blue</t>
        </is>
      </c>
      <c r="G28" s="3" t="inlineStr">
        <is>
          <t>체크인 2회 연속 진척이 0%포인트예요</t>
        </is>
      </c>
      <c r="H28" s="3" t="inlineStr">
        <is>
          <t>핵심결과 현재값이 32일째 그대로예요</t>
        </is>
      </c>
      <c r="I28" s="3" t="inlineStr">
        <is>
          <t>핵심결과 &lt;b&gt;KR-0233&lt;/b&gt; 현재값이 32일째 같아요</t>
        </is>
      </c>
      <c r="J28" s="3" t="inlineStr">
        <is>
          <t>최근 체크인 2회의 진척 증감이 &lt;b&gt;0%포인트&lt;/b&gt;예요</t>
        </is>
      </c>
      <c r="K28" s="3" t="inlineStr">
        <is>
          <t>이전 체크인 평균 증감은 &lt;b&gt;+6%포인트&lt;/b&gt;였어요</t>
        </is>
      </c>
      <c r="L28" s="3" t="inlineStr">
        <is>
          <t>행동 · 현재값 수정 초안 (수정할 수 있어요)</t>
        </is>
      </c>
      <c r="M28" s="3" t="inlineStr">
        <is>
          <t>핵심결과 KR-0233의 현재값이 32일째 같은 값으로 남아 있어, 그동안 진행한 내용을 반영해 현재값을 갱신합니다. 체크인 2회 연속 진척 증감이 0%포인트로 기록된 사유도 함께 적어 두겠습니다.</t>
        </is>
      </c>
      <c r="N28" s="14" t="inlineStr">
        <is>
          <t>현재값 수정 반영</t>
        </is>
      </c>
      <c r="O28" s="3" t="inlineStr">
        <is>
          <t>현재값이 멈춘 구간과 사유를 정리했어요. 수정할 값을 함께 확인해볼까요?</t>
        </is>
      </c>
      <c r="P28" s="3" t="inlineStr">
        <is>
          <t>값만 바꿔줘 · 사유를 자세히 · 지난 사례 보기</t>
        </is>
      </c>
      <c r="Q28" s="3" t="inlineStr">
        <is>
          <t>현재값을 수정했어요</t>
        </is>
      </c>
      <c r="R28" s="3" t="inlineStr">
        <is>
          <t>수정 이력과 사유가 체크인 기록에 함께 남습니다.</t>
        </is>
      </c>
    </row>
    <row r="29" ht="78" customHeight="1">
      <c r="A29" s="14" t="n">
        <v>27</v>
      </c>
      <c r="B29" s="3" t="inlineStr">
        <is>
          <t>중간점검-구성원-04</t>
        </is>
      </c>
      <c r="C29" s="14" t="inlineStr">
        <is>
          <t>중간점검</t>
        </is>
      </c>
      <c r="D29" s="3" t="inlineStr">
        <is>
          <t>구성원</t>
        </is>
      </c>
      <c r="E29" s="14" t="inlineStr">
        <is>
          <t>T5 상황 변동</t>
        </is>
      </c>
      <c r="F29" s="14" t="inlineStr">
        <is>
          <t>◆ green</t>
        </is>
      </c>
      <c r="G29" s="3" t="inlineStr">
        <is>
          <t>상위 목표 목표값이 150억으로 바뀌었어요</t>
        </is>
      </c>
      <c r="H29" s="3" t="inlineStr">
        <is>
          <t>연결된 내 목표는 그 뒤로 수정되지 않았어요</t>
        </is>
      </c>
      <c r="I29" s="3" t="inlineStr">
        <is>
          <t>상위 목표 &lt;b&gt;G-0007&lt;/b&gt; 목표값이 120억에서 150억으로 올랐어요</t>
        </is>
      </c>
      <c r="J29" s="3" t="inlineStr">
        <is>
          <t>이 변경은 &lt;b&gt;2026-07-20&lt;/b&gt;에 반영됐어요</t>
        </is>
      </c>
      <c r="K29" s="3" t="inlineStr">
        <is>
          <t>여기에 연결된 내 목표 &lt;b&gt;1건&lt;/b&gt;은 그대로예요</t>
        </is>
      </c>
      <c r="L29" s="3" t="inlineStr">
        <is>
          <t>행동 · 목표 수정 초안 (수정할 수 있어요)</t>
        </is>
      </c>
      <c r="M29" s="3" t="inlineStr">
        <is>
          <t>상위 목표 G-0007의 목표값이 2026-07-20에 120억에서 150억으로 바뀌었습니다. 이에 맞춰 제 목표와 핵심결과의 목표 수준을 함께 올리고, 상위 목표 변경을 수정 사유로 남깁니다.</t>
        </is>
      </c>
      <c r="N29" s="14" t="inlineStr">
        <is>
          <t>이 목표로 수정</t>
        </is>
      </c>
      <c r="O29" s="3" t="inlineStr">
        <is>
          <t>바뀐 상위 목표에 맞춰 목표 초안을 고쳐봤어요. 수준을 함께 맞춰볼까요?</t>
        </is>
      </c>
      <c r="P29" s="3" t="inlineStr">
        <is>
          <t>그대로 둘래 · 핵심결과만 조정 · 무엇이 바뀌었는지</t>
        </is>
      </c>
      <c r="Q29" s="3" t="inlineStr">
        <is>
          <t>목표를 수정했어요</t>
        </is>
      </c>
      <c r="R29" s="3" t="inlineStr">
        <is>
          <t>상위 목표 변경이 수정 이력에 사유로 남습니다.</t>
        </is>
      </c>
    </row>
    <row r="30" ht="28" customHeight="1">
      <c r="A30" s="16" t="n">
        <v>28</v>
      </c>
      <c r="B30" s="17" t="inlineStr">
        <is>
          <t>중간점검-구성원-05</t>
        </is>
      </c>
      <c r="C30" s="16" t="inlineStr">
        <is>
          <t>중간점검</t>
        </is>
      </c>
      <c r="D30" s="17" t="inlineStr">
        <is>
          <t>구성원</t>
        </is>
      </c>
      <c r="E30" s="16" t="inlineStr">
        <is>
          <t>T5 상황 변동</t>
        </is>
      </c>
      <c r="F30" s="16" t="inlineStr">
        <is>
          <t>◆ green</t>
        </is>
      </c>
      <c r="G30" s="17" t="inlineStr">
        <is>
          <t>같은 목표를 맡은 동료가 체크인을 올렸어요</t>
        </is>
      </c>
      <c r="H30" s="17" t="inlineStr">
        <is>
          <t>소유자와 작성자 일치율이 5.6%라 채택하지 않았어요</t>
        </is>
      </c>
      <c r="I30" s="17" t="inlineStr">
        <is>
          <t>-</t>
        </is>
      </c>
      <c r="J30" s="17" t="inlineStr">
        <is>
          <t>-</t>
        </is>
      </c>
      <c r="K30" s="17" t="inlineStr">
        <is>
          <t>-</t>
        </is>
      </c>
      <c r="L30" s="17" t="inlineStr">
        <is>
          <t>-</t>
        </is>
      </c>
      <c r="M30" s="17" t="inlineStr">
        <is>
          <t>-</t>
        </is>
      </c>
      <c r="N30" s="16" t="inlineStr">
        <is>
          <t>-</t>
        </is>
      </c>
      <c r="O30" s="17" t="inlineStr">
        <is>
          <t>-</t>
        </is>
      </c>
      <c r="P30" s="17" t="inlineStr">
        <is>
          <t>-</t>
        </is>
      </c>
      <c r="Q30" s="17" t="inlineStr">
        <is>
          <t>-</t>
        </is>
      </c>
      <c r="R30" s="17" t="inlineStr">
        <is>
          <t>-</t>
        </is>
      </c>
    </row>
    <row r="31" ht="78" customHeight="1">
      <c r="A31" s="14" t="n">
        <v>29</v>
      </c>
      <c r="B31" s="3" t="inlineStr">
        <is>
          <t>중간점검-팀장-01</t>
        </is>
      </c>
      <c r="C31" s="14" t="inlineStr">
        <is>
          <t>중간점검</t>
        </is>
      </c>
      <c r="D31" s="3" t="inlineStr">
        <is>
          <t>팀장(1차 평가자)</t>
        </is>
      </c>
      <c r="E31" s="14" t="inlineStr">
        <is>
          <t>T1 기한 도래</t>
        </is>
      </c>
      <c r="F31" s="14" t="inlineStr">
        <is>
          <t>◈ amber</t>
        </is>
      </c>
      <c r="G31" s="3" t="inlineStr">
        <is>
          <t>B님 체크인이 마감 사흘 전인데 0건이에요</t>
        </is>
      </c>
      <c r="H31" s="3" t="inlineStr">
        <is>
          <t>팀원 5명 중 4명은 이미 제출했어요</t>
        </is>
      </c>
      <c r="I31" s="3" t="inlineStr">
        <is>
          <t>&lt;b&gt;B님&lt;/b&gt;의 이번 회차 체크인이 0건이에요</t>
        </is>
      </c>
      <c r="J31" s="3" t="inlineStr">
        <is>
          <t>직속 팀원 &lt;b&gt;5명 중 4명&lt;/b&gt;은 이미 제출했어요</t>
        </is>
      </c>
      <c r="K31" s="3" t="inlineStr">
        <is>
          <t>이번 회차 체크인 마감까지 &lt;b&gt;3일&lt;/b&gt; 남았어요</t>
        </is>
      </c>
      <c r="L31" s="3" t="inlineStr">
        <is>
          <t>행동 · 요청 메시지 초안 (수정할 수 있어요)</t>
        </is>
      </c>
      <c r="M31" s="3" t="inlineStr">
        <is>
          <t>B님, 이번 회차 중간점검 마감이 3일 남았어요. 팀원 5명 중 4명은 이미 체크인을 올렸는데 B님 기록은 아직 비어 있어요. 지난 회차에 쓰신 내용과 최근 진척을 참고해 마감 전에 남겨주시면 좋겠어요.</t>
        </is>
      </c>
      <c r="N31" s="14" t="inlineStr">
        <is>
          <t>요청 메시지 보내기</t>
        </is>
      </c>
      <c r="O31" s="3" t="inlineStr">
        <is>
          <t>B님에게 보낼 체크인 요청 초안을 만들었어요. 톤을 조정해드릴까요?</t>
        </is>
      </c>
      <c r="P31" s="3" t="inlineStr">
        <is>
          <t>더 부드럽게 · 마감일 강조 · 진척 요약 첨부</t>
        </is>
      </c>
      <c r="Q31" s="3" t="inlineStr">
        <is>
          <t>요청을 보냈어요</t>
        </is>
      </c>
      <c r="R31" s="3" t="inlineStr">
        <is>
          <t>보냄·받음 기록이 알림 이력에 남습니다.</t>
        </is>
      </c>
    </row>
    <row r="32" ht="78" customHeight="1">
      <c r="A32" s="14" t="n">
        <v>30</v>
      </c>
      <c r="B32" s="3" t="inlineStr">
        <is>
          <t>중간점검-팀장-02</t>
        </is>
      </c>
      <c r="C32" s="14" t="inlineStr">
        <is>
          <t>중간점검</t>
        </is>
      </c>
      <c r="D32" s="3" t="inlineStr">
        <is>
          <t>팀장(1차 평가자)</t>
        </is>
      </c>
      <c r="E32" s="14" t="inlineStr">
        <is>
          <t>T2 작성 공백</t>
        </is>
      </c>
      <c r="F32" s="14" t="inlineStr">
        <is>
          <t>◇ coral</t>
        </is>
      </c>
      <c r="G32" s="3" t="inlineStr">
        <is>
          <t>B님 체크인이 21일째 비어 있어요</t>
        </is>
      </c>
      <c r="H32" s="3" t="inlineStr">
        <is>
          <t>목표 기간이 45일 남았는데 기록이 없어요</t>
        </is>
      </c>
      <c r="I32" s="3" t="inlineStr">
        <is>
          <t>&lt;b&gt;B님&lt;/b&gt;의 마지막 체크인은 2026-07-07이에요</t>
        </is>
      </c>
      <c r="J32" s="3" t="inlineStr">
        <is>
          <t>같은 팀 평균 체크인 간격은 &lt;b&gt;8일&lt;/b&gt;이에요</t>
        </is>
      </c>
      <c r="K32" s="3" t="inlineStr">
        <is>
          <t>B님 목표 기간은 &lt;b&gt;45일&lt;/b&gt; 남아 있어요</t>
        </is>
      </c>
      <c r="L32" s="3" t="inlineStr">
        <is>
          <t>행동 · 요청 메시지 초안 (수정할 수 있어요)</t>
        </is>
      </c>
      <c r="M32" s="3" t="inlineStr">
        <is>
          <t>B님, 마지막 체크인이 2026-07-07이라 21일째 기록이 비어 있어요. 팀 평균 간격은 8일이고 목표 기간도 45일 남아 있으니, 지금 진척과 막힌 부분을 짧게라도 남겨주시면 제가 함께 보겠습니다.</t>
        </is>
      </c>
      <c r="N32" s="14" t="inlineStr">
        <is>
          <t>체크인 요청 보내기</t>
        </is>
      </c>
      <c r="O32" s="3" t="inlineStr">
        <is>
          <t>B님 상황을 반영한 체크인 요청 초안이에요. 더 지원적인 톤으로 바꿔드릴까요?</t>
        </is>
      </c>
      <c r="P32" s="3" t="inlineStr">
        <is>
          <t>짧게 한 줄로 · 지원 제안 넣어서 · 1on1도 제안</t>
        </is>
      </c>
      <c r="Q32" s="3" t="inlineStr">
        <is>
          <t>체크인 요청을 보냈어요</t>
        </is>
      </c>
      <c r="R32" s="3" t="inlineStr">
        <is>
          <t>발송 기록이 B님 알림 이력에 남습니다.</t>
        </is>
      </c>
    </row>
    <row r="33" ht="78" customHeight="1">
      <c r="A33" s="14" t="n">
        <v>31</v>
      </c>
      <c r="B33" s="3" t="inlineStr">
        <is>
          <t>중간점검-팀장-03</t>
        </is>
      </c>
      <c r="C33" s="14" t="inlineStr">
        <is>
          <t>중간점검</t>
        </is>
      </c>
      <c r="D33" s="3" t="inlineStr">
        <is>
          <t>팀장(1차 평가자)</t>
        </is>
      </c>
      <c r="E33" s="14" t="inlineStr">
        <is>
          <t>T3 기준 이탈</t>
        </is>
      </c>
      <c r="F33" s="14" t="inlineStr">
        <is>
          <t>◐ purple</t>
        </is>
      </c>
      <c r="G33" s="3" t="inlineStr">
        <is>
          <t>B님 확신도가 두 번 연속 낮게 왔어요</t>
        </is>
      </c>
      <c r="H33" s="3" t="inlineStr">
        <is>
          <t>그 사이 진척은 0%p에 머물러 있어요</t>
        </is>
      </c>
      <c r="I33" s="3" t="inlineStr">
        <is>
          <t>&lt;b&gt;B님&lt;/b&gt; 최근 체크인 2회가 모두 확신도 낮음이에요</t>
        </is>
      </c>
      <c r="J33" s="3" t="inlineStr">
        <is>
          <t>그 두 체크인 사이 진척 증감은 &lt;b&gt;0%p&lt;/b&gt;예요</t>
        </is>
      </c>
      <c r="K33" s="3" t="inlineStr">
        <is>
          <t>같은 기간 팀 평균 증감은 &lt;b&gt;+9%p&lt;/b&gt;였어요</t>
        </is>
      </c>
      <c r="L33" s="3" t="inlineStr">
        <is>
          <t>행동 · 1on1 아젠다 초안 (수정할 수 있어요)</t>
        </is>
      </c>
      <c r="M33" s="3" t="inlineStr">
        <is>
          <t>1) 확신도가 두 번 연속 낮게 나온 배경 확인
2) 진척이 0%p에 머문 핵심결과 2건과 필요한 지원 파악
3) 목표값 조정 여부와 남은 기간 실행 계획 합의</t>
        </is>
      </c>
      <c r="N33" s="14" t="inlineStr">
        <is>
          <t>1on1 일정 잡기</t>
        </is>
      </c>
      <c r="O33" s="3" t="inlineStr">
        <is>
          <t>확신도와 진척 기록을 묶어 1on1 아젠다를 만들었어요. 항목을 더할까요?</t>
        </is>
      </c>
      <c r="P33" s="3" t="inlineStr">
        <is>
          <t>톤을 낮춰서 · 지원 항목 위주 · 최근 성과도 넣어줘</t>
        </is>
      </c>
      <c r="Q33" s="3" t="inlineStr">
        <is>
          <t>1on1을 예약했어요</t>
        </is>
      </c>
      <c r="R33" s="3" t="inlineStr">
        <is>
          <t>아젠다가 1on1 기록에 함께 저장됩니다.</t>
        </is>
      </c>
    </row>
    <row r="34" ht="28" customHeight="1">
      <c r="A34" s="16" t="n">
        <v>32</v>
      </c>
      <c r="B34" s="17" t="inlineStr">
        <is>
          <t>중간점검-팀장-04</t>
        </is>
      </c>
      <c r="C34" s="16" t="inlineStr">
        <is>
          <t>중간점검</t>
        </is>
      </c>
      <c r="D34" s="17" t="inlineStr">
        <is>
          <t>팀장(1차 평가자)</t>
        </is>
      </c>
      <c r="E34" s="16" t="inlineStr">
        <is>
          <t>T3 기준 이탈</t>
        </is>
      </c>
      <c r="F34" s="16" t="inlineStr">
        <is>
          <t>◐ purple</t>
        </is>
      </c>
      <c r="G34" s="17" t="inlineStr">
        <is>
          <t>B님 체크인에 달린 좋아요가 줄었어요</t>
        </is>
      </c>
      <c r="H34" s="17" t="inlineStr">
        <is>
          <t>좋아요 평균 0.3건이지만 할 행동이 없어 제외했어요</t>
        </is>
      </c>
      <c r="I34" s="17" t="inlineStr">
        <is>
          <t>-</t>
        </is>
      </c>
      <c r="J34" s="17" t="inlineStr">
        <is>
          <t>-</t>
        </is>
      </c>
      <c r="K34" s="17" t="inlineStr">
        <is>
          <t>-</t>
        </is>
      </c>
      <c r="L34" s="17" t="inlineStr">
        <is>
          <t>-</t>
        </is>
      </c>
      <c r="M34" s="17" t="inlineStr">
        <is>
          <t>-</t>
        </is>
      </c>
      <c r="N34" s="16" t="inlineStr">
        <is>
          <t>-</t>
        </is>
      </c>
      <c r="O34" s="17" t="inlineStr">
        <is>
          <t>-</t>
        </is>
      </c>
      <c r="P34" s="17" t="inlineStr">
        <is>
          <t>-</t>
        </is>
      </c>
      <c r="Q34" s="17" t="inlineStr">
        <is>
          <t>-</t>
        </is>
      </c>
      <c r="R34" s="17" t="inlineStr">
        <is>
          <t>-</t>
        </is>
      </c>
    </row>
    <row r="35" ht="78" customHeight="1">
      <c r="A35" s="14" t="n">
        <v>33</v>
      </c>
      <c r="B35" s="3" t="inlineStr">
        <is>
          <t>중간점검-팀장-05</t>
        </is>
      </c>
      <c r="C35" s="14" t="inlineStr">
        <is>
          <t>중간점검</t>
        </is>
      </c>
      <c r="D35" s="3" t="inlineStr">
        <is>
          <t>팀장(1차 평가자)</t>
        </is>
      </c>
      <c r="E35" s="14" t="inlineStr">
        <is>
          <t>T5 상황 변동</t>
        </is>
      </c>
      <c r="F35" s="14" t="inlineStr">
        <is>
          <t>◆ green</t>
        </is>
      </c>
      <c r="G35" s="3" t="inlineStr">
        <is>
          <t>B님 체크인 3회 중 2회에 막힌 일이 있어요</t>
        </is>
      </c>
      <c r="H35" s="3" t="inlineStr">
        <is>
          <t>최근 14일 동안 1on1 기록이 없어요</t>
        </is>
      </c>
      <c r="I35" s="3" t="inlineStr">
        <is>
          <t>&lt;b&gt;B님&lt;/b&gt; 최근 체크인 3회 중 2회에 장애요인이 있어요</t>
        </is>
      </c>
      <c r="J35" s="3" t="inlineStr">
        <is>
          <t>마지막 기록은 &lt;b&gt;2026-07-24&lt;/b&gt;이에요</t>
        </is>
      </c>
      <c r="K35" s="3" t="inlineStr">
        <is>
          <t>최근 14일 안에 B님과의 &lt;b&gt;1on1 기록이 0건&lt;/b&gt;이에요</t>
        </is>
      </c>
      <c r="L35" s="3" t="inlineStr">
        <is>
          <t>행동 · 1on1 아젠다 초안 (수정할 수 있어요)</t>
        </is>
      </c>
      <c r="M35" s="3" t="inlineStr">
        <is>
          <t>1) 반복해 적힌 장애요인 2건의 실제 상황 확인
2) 내가 내려야 할 결정과 도와줄 사람 정리
3) 다음 체크인까지의 실행 순서 합의</t>
        </is>
      </c>
      <c r="N35" s="14" t="inlineStr">
        <is>
          <t>1on1 잡기</t>
        </is>
      </c>
      <c r="O35" s="3" t="inlineStr">
        <is>
          <t>반복된 장애요인을 모아 1on1 아젠다를 만들었어요. 항목을 바꿔드릴까요?</t>
        </is>
      </c>
      <c r="P35" s="3" t="inlineStr">
        <is>
          <t>결정 사항 위주 · 도울 사람 추천 · 장애요인 원문</t>
        </is>
      </c>
      <c r="Q35" s="3" t="inlineStr">
        <is>
          <t>1on1을 잡았어요</t>
        </is>
      </c>
      <c r="R35" s="3" t="inlineStr">
        <is>
          <t>이야기할 항목이 1on1 기록에 함께 남습니다.</t>
        </is>
      </c>
    </row>
    <row r="36" ht="78" customHeight="1">
      <c r="A36" s="14" t="n">
        <v>34</v>
      </c>
      <c r="B36" s="3" t="inlineStr">
        <is>
          <t>중간점검-상위조직장-01</t>
        </is>
      </c>
      <c r="C36" s="14" t="inlineStr">
        <is>
          <t>중간점검</t>
        </is>
      </c>
      <c r="D36" s="3" t="inlineStr">
        <is>
          <t>상위 조직장(2차 평가자)</t>
        </is>
      </c>
      <c r="E36" s="14" t="inlineStr">
        <is>
          <t>T1 기한 도래</t>
        </is>
      </c>
      <c r="F36" s="14" t="inlineStr">
        <is>
          <t>◈ amber</t>
        </is>
      </c>
      <c r="G36" s="3" t="inlineStr">
        <is>
          <t>마감 사흘 전인데 두 팀이 20% 아래예요</t>
        </is>
      </c>
      <c r="H36" s="3" t="inlineStr">
        <is>
          <t>내 조직 평균 68%와 차이가 커요</t>
        </is>
      </c>
      <c r="I36" s="3" t="inlineStr">
        <is>
          <t>하위 &lt;b&gt;2개 팀&lt;/b&gt; 체크인율이 20% 아래예요</t>
        </is>
      </c>
      <c r="J36" s="3" t="inlineStr">
        <is>
          <t>내 조직 전체 평균 체크인율은 &lt;b&gt;68%&lt;/b&gt;예요</t>
        </is>
      </c>
      <c r="K36" s="3" t="inlineStr">
        <is>
          <t>중간점검 회차 마감까지 &lt;b&gt;3일&lt;/b&gt; 남아 있어요</t>
        </is>
      </c>
      <c r="L36" s="3" t="inlineStr">
        <is>
          <t>행동 · 마감 안내 초안 (수정할 수 있어요)</t>
        </is>
      </c>
      <c r="M36" s="3" t="inlineStr">
        <is>
          <t>팀장님, 이번 중간점검 마감이 3일 남았어요. 두 팀 체크인율이 20% 아래로 조직 평균 68%와 차이가 큽니다. 팀원별 체크인 현황을 확인해 마감 전에 작성이 마무리되도록 챙겨주시면 좋겠어요.</t>
        </is>
      </c>
      <c r="N36" s="14" t="inlineStr">
        <is>
          <t>마감 안내 보내기</t>
        </is>
      </c>
      <c r="O36" s="3" t="inlineStr">
        <is>
          <t>두 팀 팀장에게 보낼 마감 안내 초안이에요. 팀별로 나눠 보낼까요?</t>
        </is>
      </c>
      <c r="P36" s="3" t="inlineStr">
        <is>
          <t>팀별 맞춤으로 · 현황표 첨부 · 더 정중하게</t>
        </is>
      </c>
      <c r="Q36" s="3" t="inlineStr">
        <is>
          <t>마감 안내를 보냈어요</t>
        </is>
      </c>
      <c r="R36" s="3" t="inlineStr">
        <is>
          <t>두 팀 팀장의 알림 이력에 발송 기록이 남습니다.</t>
        </is>
      </c>
    </row>
    <row r="37" ht="78" customHeight="1">
      <c r="A37" s="14" t="n">
        <v>35</v>
      </c>
      <c r="B37" s="3" t="inlineStr">
        <is>
          <t>중간점검-상위조직장-02</t>
        </is>
      </c>
      <c r="C37" s="14" t="inlineStr">
        <is>
          <t>중간점검</t>
        </is>
      </c>
      <c r="D37" s="3" t="inlineStr">
        <is>
          <t>상위 조직장(2차 평가자)</t>
        </is>
      </c>
      <c r="E37" s="14" t="inlineStr">
        <is>
          <t>T2 작성 공백</t>
        </is>
      </c>
      <c r="F37" s="14" t="inlineStr">
        <is>
          <t>◇ coral</t>
        </is>
      </c>
      <c r="G37" s="3" t="inlineStr">
        <is>
          <t>D팀 핵심결과 12건 중 9건이 멈췄어요</t>
        </is>
      </c>
      <c r="H37" s="3" t="inlineStr">
        <is>
          <t>이 9건은 마지막 체크인 후 21일이 지났어요</t>
        </is>
      </c>
      <c r="I37" s="3" t="inlineStr">
        <is>
          <t>&lt;b&gt;D팀&lt;/b&gt; 핵심결과 12건 중 9건이 21일 넘게 멈춰 있어요</t>
        </is>
      </c>
      <c r="J37" s="3" t="inlineStr">
        <is>
          <t>내 조직 평균 체크인 간격은 &lt;b&gt;8일&lt;/b&gt;이에요</t>
        </is>
      </c>
      <c r="K37" s="3" t="inlineStr">
        <is>
          <t>멈춘 비율이 팀의 &lt;b&gt;30%&lt;/b&gt;를 넘었고 목표 기간은 남아 있어요</t>
        </is>
      </c>
      <c r="L37" s="3" t="inlineStr">
        <is>
          <t>행동 · 목표 검토 회의 아젠다 초안 (수정할 수 있어요)</t>
        </is>
      </c>
      <c r="M37" s="3" t="inlineStr">
        <is>
          <t>1) D팀 핵심결과 12건 중 9건이 21일 넘게 멈춘 배경 확인
2) 조직 평균 8일 간격과 벌어진 원인, 팀장에게 필요한 지원 파악
3) 마감까지 체크인을 되살릴 실행 순서 합의</t>
        </is>
      </c>
      <c r="N37" s="14" t="inlineStr">
        <is>
          <t>검토 회의 잡기</t>
        </is>
      </c>
      <c r="O37" s="3" t="inlineStr">
        <is>
          <t>D팀 체크인 공백을 정리해 목표 검토 회의 아젠다를 만들었어요. 조정할까요?</t>
        </is>
      </c>
      <c r="P37" s="3" t="inlineStr">
        <is>
          <t>멈춘 목록 보기 · 팀장 부담 낮게 · 지원안 먼저</t>
        </is>
      </c>
      <c r="Q37" s="3" t="inlineStr">
        <is>
          <t>검토 회의를 잡았어요</t>
        </is>
      </c>
      <c r="R37" s="3" t="inlineStr">
        <is>
          <t>아젠다가 목표 검토 회의 기록에 저장됩니다.</t>
        </is>
      </c>
    </row>
    <row r="38" ht="78" customHeight="1">
      <c r="A38" s="14" t="n">
        <v>36</v>
      </c>
      <c r="B38" s="3" t="inlineStr">
        <is>
          <t>중간점검-상위조직장-03</t>
        </is>
      </c>
      <c r="C38" s="14" t="inlineStr">
        <is>
          <t>중간점검</t>
        </is>
      </c>
      <c r="D38" s="3" t="inlineStr">
        <is>
          <t>상위 조직장(2차 평가자)</t>
        </is>
      </c>
      <c r="E38" s="14" t="inlineStr">
        <is>
          <t>T3 기준 이탈</t>
        </is>
      </c>
      <c r="F38" s="14" t="inlineStr">
        <is>
          <t>◐ purple</t>
        </is>
      </c>
      <c r="G38" s="3" t="inlineStr">
        <is>
          <t>팀 사이 진척 격차가 37%p로 벌어졌어요</t>
        </is>
      </c>
      <c r="H38" s="3" t="inlineStr">
        <is>
          <t>가장 낮은 팀은 기대 진척 60%에 못 미쳐요</t>
        </is>
      </c>
      <c r="I38" s="3" t="inlineStr">
        <is>
          <t>하위 팀 평균 진척이 최고 &lt;b&gt;78%&lt;/b&gt;, 최저 &lt;b&gt;41%&lt;/b&gt;예요</t>
        </is>
      </c>
      <c r="J38" s="3" t="inlineStr">
        <is>
          <t>기간 경과 대비 기대 진척은 &lt;b&gt;60%&lt;/b&gt;예요</t>
        </is>
      </c>
      <c r="K38" s="3" t="inlineStr">
        <is>
          <t>격차 &lt;b&gt;37%p&lt;/b&gt;는 기준선 30%p를 넘었어요</t>
        </is>
      </c>
      <c r="L38" s="3" t="inlineStr">
        <is>
          <t>행동 · 목표 재조정 요청 초안 (수정할 수 있어요)</t>
        </is>
      </c>
      <c r="M38" s="3" t="inlineStr">
        <is>
          <t>하위 팀 평균 진척이 최고 78%, 최저 41%로 37%포인트 벌어졌고, 가장 낮은 팀은 기간 경과 대비 기대 진척 60%에 크게 못 미칩니다. 해당 팀의 목표 수준과 핵심결과 가중치를 다시 맞추도록 재조정을 요청합니다.</t>
        </is>
      </c>
      <c r="N38" s="14" t="inlineStr">
        <is>
          <t>재조정 요청하기</t>
        </is>
      </c>
      <c r="O38" s="3" t="inlineStr">
        <is>
          <t>팀별 진척 비교와 장애요인을 모아 재조정 요청 초안을 잡았어요. 다듬을까요?</t>
        </is>
      </c>
      <c r="P38" s="3" t="inlineStr">
        <is>
          <t>팀별로 쪼개서 · 지난 분기와 비교 · 요청 사유 짧게</t>
        </is>
      </c>
      <c r="Q38" s="3" t="inlineStr">
        <is>
          <t>재조정을 요청했어요</t>
        </is>
      </c>
      <c r="R38" s="3" t="inlineStr">
        <is>
          <t>요청 이력과 승인 상태가 함께 기록됩니다.</t>
        </is>
      </c>
    </row>
    <row r="39" ht="78" customHeight="1">
      <c r="A39" s="14" t="n">
        <v>37</v>
      </c>
      <c r="B39" s="3" t="inlineStr">
        <is>
          <t>중간점검-상위조직장-04</t>
        </is>
      </c>
      <c r="C39" s="14" t="inlineStr">
        <is>
          <t>중간점검</t>
        </is>
      </c>
      <c r="D39" s="3" t="inlineStr">
        <is>
          <t>상위 조직장(2차 평가자)</t>
        </is>
      </c>
      <c r="E39" s="14" t="inlineStr">
        <is>
          <t>T4 연결 불일치</t>
        </is>
      </c>
      <c r="F39" s="14" t="inlineStr">
        <is>
          <t>◎ blue</t>
        </is>
      </c>
      <c r="G39" s="3" t="inlineStr">
        <is>
          <t>하위 팀은 올랐는데 조직 목표는 +2%p예요</t>
        </is>
      </c>
      <c r="H39" s="3" t="inlineStr">
        <is>
          <t>팀 평균은 +18%p인데 상위 지표는 그대로예요</t>
        </is>
      </c>
      <c r="I39" s="3" t="inlineStr">
        <is>
          <t>하위 팀 평균 진척이 &lt;b&gt;+18%p&lt;/b&gt; 올랐어요</t>
        </is>
      </c>
      <c r="J39" s="3" t="inlineStr">
        <is>
          <t>같은 기간 내 조직 목표 진척은 &lt;b&gt;+2%p&lt;/b&gt;예요</t>
        </is>
      </c>
      <c r="K39" s="3" t="inlineStr">
        <is>
          <t>연결된 &lt;b&gt;전략과제 KPI&lt;/b&gt;는 변동이 없어요</t>
        </is>
      </c>
      <c r="L39" s="3" t="inlineStr">
        <is>
          <t>행동 · 목표 검토 회의 아젠다 초안 (수정할 수 있어요)</t>
        </is>
      </c>
      <c r="M39" s="3" t="inlineStr">
        <is>
          <t>1) 하위 팀 진척 +18%포인트가 조직 목표 +2%포인트에만 반영된 계산 구조 확인
2) 연결이 약한 하위 목표와 조직 목표 지표의 대응 관계 정리
3) 전략과제 KPI에 닿도록 연결을 다시 맞출 담당과 기한 합의</t>
        </is>
      </c>
      <c r="N39" s="14" t="inlineStr">
        <is>
          <t>목표 검토 회의 잡기</t>
        </is>
      </c>
      <c r="O39" s="3" t="inlineStr">
        <is>
          <t>진척이 상위로 이어지지 않은 지점을 정리했어요. 회의 항목을 더할까요?</t>
        </is>
      </c>
      <c r="P39" s="3" t="inlineStr">
        <is>
          <t>기여도 표 보기 · 연결 약한 목표 · 지표부터 볼래</t>
        </is>
      </c>
      <c r="Q39" s="3" t="inlineStr">
        <is>
          <t>회의를 잡았어요</t>
        </is>
      </c>
      <c r="R39" s="3" t="inlineStr">
        <is>
          <t>아젠다가 목표 검토 회의 기록에 남습니다.</t>
        </is>
      </c>
    </row>
    <row r="40" ht="78" customHeight="1">
      <c r="A40" s="14" t="n">
        <v>38</v>
      </c>
      <c r="B40" s="3" t="inlineStr">
        <is>
          <t>중간점검-상위조직장-05</t>
        </is>
      </c>
      <c r="C40" s="14" t="inlineStr">
        <is>
          <t>중간점검</t>
        </is>
      </c>
      <c r="D40" s="3" t="inlineStr">
        <is>
          <t>상위 조직장(2차 평가자)</t>
        </is>
      </c>
      <c r="E40" s="14" t="inlineStr">
        <is>
          <t>T5 상황 변동</t>
        </is>
      </c>
      <c r="F40" s="14" t="inlineStr">
        <is>
          <t>◆ green</t>
        </is>
      </c>
      <c r="G40" s="3" t="inlineStr">
        <is>
          <t>세 팀에서 같은 장애요인이 7건 반복됐어요</t>
        </is>
      </c>
      <c r="H40" s="3" t="inlineStr">
        <is>
          <t>직전 14일에는 1건뿐이던 항목이에요</t>
        </is>
      </c>
      <c r="I40" s="3" t="inlineStr">
        <is>
          <t>최근 14일 체크인에 같은 장애요인이 &lt;b&gt;7건&lt;/b&gt; 있어요</t>
        </is>
      </c>
      <c r="J40" s="3" t="inlineStr">
        <is>
          <t>직전 14일 같은 기간에는 &lt;b&gt;1건&lt;/b&gt;이었어요</t>
        </is>
      </c>
      <c r="K40" s="3" t="inlineStr">
        <is>
          <t>서로 다른 &lt;b&gt;3개 팀&lt;/b&gt;에 걸쳐 나타났어요</t>
        </is>
      </c>
      <c r="L40" s="3" t="inlineStr">
        <is>
          <t>행동 · 장애요인 해소 요청 초안 (수정할 수 있어요)</t>
        </is>
      </c>
      <c r="M40" s="3" t="inlineStr">
        <is>
          <t>최근 14일 체크인에서 같은 장애요인이 3개 팀 7건으로 반복됐습니다. 직전 같은 기간 1건과 비교하면 개별 팀에서 풀기 어려운 사안으로 보여, 해당 장애요인의 해소 방안 검토를 상위에 요청합니다.</t>
        </is>
      </c>
      <c r="N40" s="14" t="inlineStr">
        <is>
          <t>해소 요청하기</t>
        </is>
      </c>
      <c r="O40" s="3" t="inlineStr">
        <is>
          <t>세 팀에 반복된 장애요인을 묶어 요청 초안을 만들었어요. 사실을 더 넣을까요?</t>
        </is>
      </c>
      <c r="P40" s="3" t="inlineStr">
        <is>
          <t>원문 묶음 보기 · 영향 범위 추가 · 요청 대상 바꾸기</t>
        </is>
      </c>
      <c r="Q40" s="3" t="inlineStr">
        <is>
          <t>해소를 요청했어요</t>
        </is>
      </c>
      <c r="R40" s="3" t="inlineStr">
        <is>
          <t>장애요인별 요청 이력이 함께 기록됩니다.</t>
        </is>
      </c>
    </row>
    <row r="41" ht="78" customHeight="1">
      <c r="A41" s="14" t="n">
        <v>39</v>
      </c>
      <c r="B41" s="3" t="inlineStr">
        <is>
          <t>중간점검-HR경영진-01</t>
        </is>
      </c>
      <c r="C41" s="14" t="inlineStr">
        <is>
          <t>중간점검</t>
        </is>
      </c>
      <c r="D41" s="3" t="inlineStr">
        <is>
          <t>HR·경영진</t>
        </is>
      </c>
      <c r="E41" s="14" t="inlineStr">
        <is>
          <t>T1 기한 도래</t>
        </is>
      </c>
      <c r="F41" s="14" t="inlineStr">
        <is>
          <t>◈ amber</t>
        </is>
      </c>
      <c r="G41" s="3" t="inlineStr">
        <is>
          <t>기간은 절반 지났는데 참여율은 41%예요</t>
        </is>
      </c>
      <c r="H41" s="3" t="inlineStr">
        <is>
          <t>체크인이 한 건도 없는 조직이 7곳이에요</t>
        </is>
      </c>
      <c r="I41" s="3" t="inlineStr">
        <is>
          <t>전사 체크인 참여 인원 비율이 &lt;b&gt;41%&lt;/b&gt;예요</t>
        </is>
      </c>
      <c r="J41" s="3" t="inlineStr">
        <is>
          <t>계획대로면 기간 경과 &lt;b&gt;50%&lt;/b&gt; 이상이어야 해요</t>
        </is>
      </c>
      <c r="K41" s="3" t="inlineStr">
        <is>
          <t>체크인 0건 조직이 &lt;b&gt;38개 중 7개&lt;/b&gt;예요</t>
        </is>
      </c>
      <c r="L41" s="3" t="inlineStr">
        <is>
          <t>행동 · 참여 독려 안내 초안 (수정할 수 있어요)</t>
        </is>
      </c>
      <c r="M41" s="3" t="inlineStr">
        <is>
          <t>중간점검 기간이 절반 지났는데 전사 참여 인원 비율은 41%에 머물러 있어요. 특히 체크인이 한 건도 없는 조직이 38개 중 7개입니다. 마감 전에 팀별 체크인 현황을 확인하고 작성을 안내해주시면 좋겠어요.</t>
        </is>
      </c>
      <c r="N41" s="14" t="inlineStr">
        <is>
          <t>참여 독려 보내기</t>
        </is>
      </c>
      <c r="O41" s="3" t="inlineStr">
        <is>
          <t>체크인이 비어 있는 조직 7곳에 보낼 안내 초안이에요. 조직별로 나눌까요?</t>
        </is>
      </c>
      <c r="P41" s="3" t="inlineStr">
        <is>
          <t>조직별 맞춤 · 현황표 붙여서 · 남은 기간 강조</t>
        </is>
      </c>
      <c r="Q41" s="3" t="inlineStr">
        <is>
          <t>참여 독려를 보냈어요</t>
        </is>
      </c>
      <c r="R41" s="3" t="inlineStr">
        <is>
          <t>조직 7곳의 발송 기록이 알림 이력에 남습니다.</t>
        </is>
      </c>
    </row>
    <row r="42" ht="78" customHeight="1">
      <c r="A42" s="14" t="n">
        <v>40</v>
      </c>
      <c r="B42" s="3" t="inlineStr">
        <is>
          <t>중간점검-HR경영진-02</t>
        </is>
      </c>
      <c r="C42" s="14" t="inlineStr">
        <is>
          <t>중간점검</t>
        </is>
      </c>
      <c r="D42" s="3" t="inlineStr">
        <is>
          <t>HR·경영진</t>
        </is>
      </c>
      <c r="E42" s="14" t="inlineStr">
        <is>
          <t>T3 기준 이탈</t>
        </is>
      </c>
      <c r="F42" s="14" t="inlineStr">
        <is>
          <t>◐ purple</t>
        </is>
      </c>
      <c r="G42" s="3" t="inlineStr">
        <is>
          <t>두 조직 진척이 기간보다 34%p 낮아요</t>
        </is>
      </c>
      <c r="H42" s="3" t="inlineStr">
        <is>
          <t>전사 격차 9%p와 견주면 크게 벌어져 있어요</t>
        </is>
      </c>
      <c r="I42" s="3" t="inlineStr">
        <is>
          <t>&lt;b&gt;2개 조직&lt;/b&gt;의 목표 평균 진척이 34%예요</t>
        </is>
      </c>
      <c r="J42" s="3" t="inlineStr">
        <is>
          <t>같은 시점의 기간 경과율은 &lt;b&gt;68%&lt;/b&gt;예요</t>
        </is>
      </c>
      <c r="K42" s="3" t="inlineStr">
        <is>
          <t>대상 목표는 &lt;b&gt;11건&lt;/b&gt;이고 전사 격차는 9%p예요</t>
        </is>
      </c>
      <c r="L42" s="3" t="inlineStr">
        <is>
          <t>행동 · 보완 안내 초안 (수정할 수 있어요)</t>
        </is>
      </c>
      <c r="M42" s="3" t="inlineStr">
        <is>
          <t>두 조직의 목표 평균 진척이 34%로, 기간 경과 68% 대비 34%포인트 뒤처져 있어요. 전사 격차 9%포인트와 비교해도 차이가 큽니다. 대상 목표 11건의 진행 상황을 다시 확인하고 보완 계획을 회신해주시면 좋겠어요.</t>
        </is>
      </c>
      <c r="N42" s="14" t="inlineStr">
        <is>
          <t>보완 안내 보내기</t>
        </is>
      </c>
      <c r="O42" s="3" t="inlineStr">
        <is>
          <t>두 조직의 진척과 장애요인을 정리해 안내 초안을 만들었어요. 조정할까요?</t>
        </is>
      </c>
      <c r="P42" s="3" t="inlineStr">
        <is>
          <t>회신 기한 넣어서 · 장애요인 요약 · 조직별로 나눠서</t>
        </is>
      </c>
      <c r="Q42" s="3" t="inlineStr">
        <is>
          <t>보완 안내를 보냈어요</t>
        </is>
      </c>
      <c r="R42" s="3" t="inlineStr">
        <is>
          <t>두 조직의 보완 계획 회신 상태를 추적합니다.</t>
        </is>
      </c>
    </row>
    <row r="43" ht="78" customHeight="1">
      <c r="A43" s="14" t="n">
        <v>41</v>
      </c>
      <c r="B43" s="3" t="inlineStr">
        <is>
          <t>중간점검-HR경영진-03</t>
        </is>
      </c>
      <c r="C43" s="14" t="inlineStr">
        <is>
          <t>중간점검</t>
        </is>
      </c>
      <c r="D43" s="3" t="inlineStr">
        <is>
          <t>HR·경영진</t>
        </is>
      </c>
      <c r="E43" s="14" t="inlineStr">
        <is>
          <t>T3 기준 이탈</t>
        </is>
      </c>
      <c r="F43" s="14" t="inlineStr">
        <is>
          <t>◐ purple</t>
        </is>
      </c>
      <c r="G43" s="3" t="inlineStr">
        <is>
          <t>한 본부 진척이 8주째 +2%p에 그쳤어요</t>
        </is>
      </c>
      <c r="H43" s="3" t="inlineStr">
        <is>
          <t>협조 유형 장애요인이 9건 쌓여 있어요</t>
        </is>
      </c>
      <c r="I43" s="3" t="inlineStr">
        <is>
          <t>본부 목표 평균 진척이 &lt;b&gt;34%&lt;/b&gt;예요 (기간 경과 68%)</t>
        </is>
      </c>
      <c r="J43" s="3" t="inlineStr">
        <is>
          <t>최근 8주 진척 증감 합계가 &lt;b&gt;+2%p&lt;/b&gt;예요</t>
        </is>
      </c>
      <c r="K43" s="3" t="inlineStr">
        <is>
          <t>장애요인 중 타 조직 협조 유형이 &lt;b&gt;9건&lt;/b&gt;이에요</t>
        </is>
      </c>
      <c r="L43" s="3" t="inlineStr">
        <is>
          <t>행동 · 인력·자원 재배분 검토 요청 초안 (수정할 수 있어요)</t>
        </is>
      </c>
      <c r="M43" s="3" t="inlineStr">
        <is>
          <t>이 본부의 목표 평균 진척이 34%로 기간 경과 68%에 크게 못 미치고, 최근 8주 진척 증감 합계도 +2%포인트에 그쳤습니다. 장애요인 중 타 조직 협조 유형이 9건으로 가장 많아, 인력·자원 재배분 검토를 요청합니다.</t>
        </is>
      </c>
      <c r="N43" s="14" t="inlineStr">
        <is>
          <t>재배분 검토 요청</t>
        </is>
      </c>
      <c r="O43" s="3" t="inlineStr">
        <is>
          <t>본부 정체 구간과 협조 장애요인을 모아 요청 초안을 잡았어요. 다듬을까요?</t>
        </is>
      </c>
      <c r="P43" s="3" t="inlineStr">
        <is>
          <t>전략과제도 함께 · 유형별 건수 표 · 요청 대상 확인</t>
        </is>
      </c>
      <c r="Q43" s="3" t="inlineStr">
        <is>
          <t>재배분 검토를 요청했어요</t>
        </is>
      </c>
      <c r="R43" s="3" t="inlineStr">
        <is>
          <t>요청 이력과 회신 흐름이 함께 기록됩니다.</t>
        </is>
      </c>
    </row>
    <row r="44" ht="78" customHeight="1">
      <c r="A44" s="14" t="n">
        <v>42</v>
      </c>
      <c r="B44" s="3" t="inlineStr">
        <is>
          <t>중간점검-HR경영진-04</t>
        </is>
      </c>
      <c r="C44" s="14" t="inlineStr">
        <is>
          <t>중간점검</t>
        </is>
      </c>
      <c r="D44" s="3" t="inlineStr">
        <is>
          <t>HR·경영진</t>
        </is>
      </c>
      <c r="E44" s="14" t="inlineStr">
        <is>
          <t>T4 연결 불일치</t>
        </is>
      </c>
      <c r="F44" s="14" t="inlineStr">
        <is>
          <t>◎ blue</t>
        </is>
      </c>
      <c r="G44" s="3" t="inlineStr">
        <is>
          <t>세 조직에서 상위 목표만 +1%p에 머물러요</t>
        </is>
      </c>
      <c r="H44" s="3" t="inlineStr">
        <is>
          <t>하위 핵심결과는 4주간 +18%p 올랐어요</t>
        </is>
      </c>
      <c r="I44" s="3" t="inlineStr">
        <is>
          <t>4주간 하위 핵심결과 평균 진척이 &lt;b&gt;+18%p&lt;/b&gt;예요</t>
        </is>
      </c>
      <c r="J44" s="3" t="inlineStr">
        <is>
          <t>같은 기간 연결된 조직목표 진척은 &lt;b&gt;+1%p&lt;/b&gt;예요</t>
        </is>
      </c>
      <c r="K44" s="3" t="inlineStr">
        <is>
          <t>대상 조직목표는 &lt;b&gt;3개 조직 5건&lt;/b&gt;이에요</t>
        </is>
      </c>
      <c r="L44" s="3" t="inlineStr">
        <is>
          <t>행동 · 목표 구조 재정비 요청 초안 (수정할 수 있어요)</t>
        </is>
      </c>
      <c r="M44" s="3" t="inlineStr">
        <is>
          <t>4주 동안 하위 핵심결과 평균 진척은 +18%포인트 올랐지만, 연결된 조직목표 진척은 +1%포인트에 머물렀습니다. 3개 조직 5건의 조직목표를 대상으로 측정 지표와 하위 목표의 연결을 다시 맞추도록 요청합니다.</t>
        </is>
      </c>
      <c r="N44" s="14" t="inlineStr">
        <is>
          <t>재정비 요청하기</t>
        </is>
      </c>
      <c r="O44" s="3" t="inlineStr">
        <is>
          <t>연결이 어긋난 목표 짝을 정리해 요청 초안을 만들었어요. 범위를 조정할까요?</t>
        </is>
      </c>
      <c r="P44" s="3" t="inlineStr">
        <is>
          <t>어긋난 짝 보기 · 지표 기준 설명 · 조직 3곳만</t>
        </is>
      </c>
      <c r="Q44" s="3" t="inlineStr">
        <is>
          <t>재정비를 요청했어요</t>
        </is>
      </c>
      <c r="R44" s="3" t="inlineStr">
        <is>
          <t>조직별 반영 상태와 수정 이력이 남습니다.</t>
        </is>
      </c>
    </row>
    <row r="45" ht="78" customHeight="1">
      <c r="A45" s="14" t="n">
        <v>43</v>
      </c>
      <c r="B45" s="3" t="inlineStr">
        <is>
          <t>평가-구성원-01</t>
        </is>
      </c>
      <c r="C45" s="14" t="inlineStr">
        <is>
          <t>평가</t>
        </is>
      </c>
      <c r="D45" s="3" t="inlineStr">
        <is>
          <t>구성원</t>
        </is>
      </c>
      <c r="E45" s="14" t="inlineStr">
        <is>
          <t>T1 기한 도래</t>
        </is>
      </c>
      <c r="F45" s="14" t="inlineStr">
        <is>
          <t>◈ amber</t>
        </is>
      </c>
      <c r="G45" s="3" t="inlineStr">
        <is>
          <t>자기평가 제출까지 5일 남았어요</t>
        </is>
      </c>
      <c r="H45" s="3" t="inlineStr">
        <is>
          <t>아직 제출 기록이 없어 마감 전 작성이 필요해요</t>
        </is>
      </c>
      <c r="I45" s="3" t="inlineStr">
        <is>
          <t>&lt;b&gt;자기평가&lt;/b&gt; 제출 기한 2026-08-10까지 5일 남았어요</t>
        </is>
      </c>
      <c r="J45" s="3" t="inlineStr">
        <is>
          <t>FY2026-2Q 자기평가 제출 기록이 아직 없어요</t>
        </is>
      </c>
      <c r="K45" s="3" t="inlineStr">
        <is>
          <t>평가 기간에 쓴 &lt;b&gt;체크인 기록&lt;/b&gt;과 핵심결과 달성 수치는 모아 뒀어요</t>
        </is>
      </c>
      <c r="L45" s="3" t="inlineStr">
        <is>
          <t>행동 · 자기평가 초안 (수정할 수 있어요)</t>
        </is>
      </c>
      <c r="M45" s="3" t="inlineStr">
        <is>
          <t>FY2026-2Q 기간에 기록한 체크인과 핵심결과별 달성 수치를 근거로 정리했습니다. 가중치가 높은 목표부터 달성 수준과 난이도 근거를 적었고, 목표값에 닿지 못한 항목은 원인과 후속 계획을 함께 남겼습니다. 제출 기한은 2026-08-10입니다.</t>
        </is>
      </c>
      <c r="N45" s="14" t="inlineStr">
        <is>
          <t>자기평가 등록</t>
        </is>
      </c>
      <c r="O45" s="3" t="inlineStr">
        <is>
          <t>체크인 기록으로 자기평가 초안을 잡아봤어요. 빠진 목표가 있으면 알려주세요.</t>
        </is>
      </c>
      <c r="P45" s="3" t="inlineStr">
        <is>
          <t>더 짧게 · 수치를 더 넣어서 · 난이도 근거 추가</t>
        </is>
      </c>
      <c r="Q45" s="3" t="inlineStr">
        <is>
          <t>자기평가를 등록했어요</t>
        </is>
      </c>
      <c r="R45" s="3" t="inlineStr">
        <is>
          <t>제출 기록이 남아 1차 평가 근거로 이어집니다.</t>
        </is>
      </c>
    </row>
    <row r="46" ht="78" customHeight="1">
      <c r="A46" s="14" t="n">
        <v>44</v>
      </c>
      <c r="B46" s="3" t="inlineStr">
        <is>
          <t>평가-구성원-02</t>
        </is>
      </c>
      <c r="C46" s="14" t="inlineStr">
        <is>
          <t>평가</t>
        </is>
      </c>
      <c r="D46" s="3" t="inlineStr">
        <is>
          <t>구성원</t>
        </is>
      </c>
      <c r="E46" s="14" t="inlineStr">
        <is>
          <t>T2 작성 공백</t>
        </is>
      </c>
      <c r="F46" s="14" t="inlineStr">
        <is>
          <t>◇ coral</t>
        </is>
      </c>
      <c r="G46" s="3" t="inlineStr">
        <is>
          <t>이번 기간 체크인이 1건에 그쳤어요</t>
        </is>
      </c>
      <c r="H46" s="3" t="inlineStr">
        <is>
          <t>팀 평균은 6건인데 평가에 쓸 기록이 적어요</t>
        </is>
      </c>
      <c r="I46" s="3" t="inlineStr">
        <is>
          <t>FY2026-2Q에 쓴 &lt;b&gt;체크인&lt;/b&gt;이 1건이에요</t>
        </is>
      </c>
      <c r="J46" s="3" t="inlineStr">
        <is>
          <t>같은 팀 1인당 &lt;b&gt;평균 6건&lt;/b&gt;과 차이가 있어요</t>
        </is>
      </c>
      <c r="K46" s="3" t="inlineStr">
        <is>
          <t>평가 대상 기간이 절반 넘게 지나 남은 기간이 짧아요</t>
        </is>
      </c>
      <c r="L46" s="3" t="inlineStr">
        <is>
          <t>행동 · 체크인 초안 (수정할 수 있어요)</t>
        </is>
      </c>
      <c r="M46" s="3" t="inlineStr">
        <is>
          <t>핵심결과별 목표값과 현재값을 대조해 이번 기간 진척을 정리했습니다. 값이 움직인 구간은 변동 기록을 인용해 사유를 적었고, 직무 과업 가운데 제가 맡은 항목의 진행 상황을 항목별로 덧붙였습니다.</t>
        </is>
      </c>
      <c r="N46" s="14" t="inlineStr">
        <is>
          <t>이대로 체크인</t>
        </is>
      </c>
      <c r="O46" s="3" t="inlineStr">
        <is>
          <t>남은 기간에 채울 체크인 초안을 잡아봤어요. 항목을 더 나눠 드릴까요?</t>
        </is>
      </c>
      <c r="P46" s="3" t="inlineStr">
        <is>
          <t>핵심결과별로 · 장애요인도 넣어서 · 더 짧게</t>
        </is>
      </c>
      <c r="Q46" s="3" t="inlineStr">
        <is>
          <t>체크인이 기록됐어요</t>
        </is>
      </c>
      <c r="R46" s="3" t="inlineStr">
        <is>
          <t>이 기록은 자기평가 근거로 함께 쌓입니다.</t>
        </is>
      </c>
    </row>
    <row r="47" ht="28" customHeight="1">
      <c r="A47" s="16" t="n">
        <v>45</v>
      </c>
      <c r="B47" s="17" t="inlineStr">
        <is>
          <t>평가-구성원-03</t>
        </is>
      </c>
      <c r="C47" s="16" t="inlineStr">
        <is>
          <t>평가</t>
        </is>
      </c>
      <c r="D47" s="17" t="inlineStr">
        <is>
          <t>구성원</t>
        </is>
      </c>
      <c r="E47" s="16" t="inlineStr">
        <is>
          <t>T3 기준 이탈</t>
        </is>
      </c>
      <c r="F47" s="16" t="inlineStr">
        <is>
          <t>◐ purple</t>
        </is>
      </c>
      <c r="G47" s="17" t="inlineStr">
        <is>
          <t>내 종합점수가 팀 평균보다 낮아요</t>
        </is>
      </c>
      <c r="H47" s="17" t="inlineStr">
        <is>
          <t>확정 전 점수와 팀 평균은 본인에게 보여드리지 않아요</t>
        </is>
      </c>
      <c r="I47" s="17" t="inlineStr">
        <is>
          <t>-</t>
        </is>
      </c>
      <c r="J47" s="17" t="inlineStr">
        <is>
          <t>-</t>
        </is>
      </c>
      <c r="K47" s="17" t="inlineStr">
        <is>
          <t>-</t>
        </is>
      </c>
      <c r="L47" s="17" t="inlineStr">
        <is>
          <t>-</t>
        </is>
      </c>
      <c r="M47" s="17" t="inlineStr">
        <is>
          <t>-</t>
        </is>
      </c>
      <c r="N47" s="16" t="inlineStr">
        <is>
          <t>-</t>
        </is>
      </c>
      <c r="O47" s="17" t="inlineStr">
        <is>
          <t>-</t>
        </is>
      </c>
      <c r="P47" s="17" t="inlineStr">
        <is>
          <t>-</t>
        </is>
      </c>
      <c r="Q47" s="17" t="inlineStr">
        <is>
          <t>-</t>
        </is>
      </c>
      <c r="R47" s="17" t="inlineStr">
        <is>
          <t>-</t>
        </is>
      </c>
    </row>
    <row r="48" ht="78" customHeight="1">
      <c r="A48" s="14" t="n">
        <v>46</v>
      </c>
      <c r="B48" s="3" t="inlineStr">
        <is>
          <t>평가-구성원-04</t>
        </is>
      </c>
      <c r="C48" s="14" t="inlineStr">
        <is>
          <t>평가</t>
        </is>
      </c>
      <c r="D48" s="3" t="inlineStr">
        <is>
          <t>구성원</t>
        </is>
      </c>
      <c r="E48" s="14" t="inlineStr">
        <is>
          <t>T4 연결 불일치</t>
        </is>
      </c>
      <c r="F48" s="14" t="inlineStr">
        <is>
          <t>◎ blue</t>
        </is>
      </c>
      <c r="G48" s="3" t="inlineStr">
        <is>
          <t>자기평가와 진척률 54%가 서로 달라요</t>
        </is>
      </c>
      <c r="H48" s="3" t="inlineStr">
        <is>
          <t>초과 달성으로 적었는데 실제 진척은 54%예요</t>
        </is>
      </c>
      <c r="I48" s="3" t="inlineStr">
        <is>
          <t>&lt;b&gt;KR-0233&lt;/b&gt; 진척률이 54%로 기록돼 있어요</t>
        </is>
      </c>
      <c r="J48" s="3" t="inlineStr">
        <is>
          <t>자기평가에는 &lt;b&gt;초과 달성&lt;/b&gt;으로 적혀 계획 대비 30%포인트 차이예요</t>
        </is>
      </c>
      <c r="K48" s="3" t="inlineStr">
        <is>
          <t>핵심결과 가중치와 난이도 근거도 함께 확인했어요</t>
        </is>
      </c>
      <c r="L48" s="3" t="inlineStr">
        <is>
          <t>행동 · 자기평가 수정 초안 (수정할 수 있어요)</t>
        </is>
      </c>
      <c r="M48" s="3" t="inlineStr">
        <is>
          <t>KR-0233 항목의 자기평가를 초과 달성에서 진척률 54% 기준으로 고쳐 적었습니다. 목표값까지 남은 구간은 체크인 코멘트와 장애요인 기록을 인용해 사유를 밝혔고, 난이도와 난이도 근거는 기존 내용을 그대로 유지했습니다.</t>
        </is>
      </c>
      <c r="N48" s="14" t="inlineStr">
        <is>
          <t>자기평가 수정</t>
        </is>
      </c>
      <c r="O48" s="3" t="inlineStr">
        <is>
          <t>진척률에 맞춰 자기평가를 다듬어봤어요. 표현 수위를 조정해 드릴까요?</t>
        </is>
      </c>
      <c r="P48" s="3" t="inlineStr">
        <is>
          <t>장애요인 넣어서 · 표현을 담백하게 · 왜 벌어졌는지 설명해줘</t>
        </is>
      </c>
      <c r="Q48" s="3" t="inlineStr">
        <is>
          <t>자기평가를 수정했어요</t>
        </is>
      </c>
      <c r="R48" s="3" t="inlineStr">
        <is>
          <t>수정 이력이 함께 남아 1차 평가에 전달됩니다.</t>
        </is>
      </c>
    </row>
    <row r="49" ht="78" customHeight="1">
      <c r="A49" s="14" t="n">
        <v>47</v>
      </c>
      <c r="B49" s="3" t="inlineStr">
        <is>
          <t>평가-구성원-05</t>
        </is>
      </c>
      <c r="C49" s="14" t="inlineStr">
        <is>
          <t>평가</t>
        </is>
      </c>
      <c r="D49" s="3" t="inlineStr">
        <is>
          <t>구성원</t>
        </is>
      </c>
      <c r="E49" s="14" t="inlineStr">
        <is>
          <t>T5 상황 변동</t>
        </is>
      </c>
      <c r="F49" s="14" t="inlineStr">
        <is>
          <t>◆ green</t>
        </is>
      </c>
      <c r="G49" s="3" t="inlineStr">
        <is>
          <t>평가 기간의 67%를 이전 조직에서 보냈어요</t>
        </is>
      </c>
      <c r="H49" s="3" t="inlineStr">
        <is>
          <t>7월 1일 이동으로 1차 평가자가 바뀌었어요</t>
        </is>
      </c>
      <c r="I49" s="3" t="inlineStr">
        <is>
          <t>2026-07-01 &lt;b&gt;영업1팀 → 사업개발팀&lt;/b&gt;으로 옮겼어요</t>
        </is>
      </c>
      <c r="J49" s="3" t="inlineStr">
        <is>
          <t>이전 조직 재직 기간이 평가 기간의 &lt;b&gt;67%&lt;/b&gt;예요</t>
        </is>
      </c>
      <c r="K49" s="3" t="inlineStr">
        <is>
          <t>평가 기간 중에 &lt;b&gt;1차 평가자&lt;/b&gt;가 바뀐 것으로 확인돼요</t>
        </is>
      </c>
      <c r="L49" s="3" t="inlineStr">
        <is>
          <t>행동 · 성과 요약 전달 초안 (수정할 수 있어요)</t>
        </is>
      </c>
      <c r="M49" s="3" t="inlineStr">
        <is>
          <t>안녕하세요. 2026-07-01자로 영업1팀에서 사업개발팀으로 옮겨 왔습니다. 평가 기간의 67%를 이전 조직에서 보냈기에, 그 기간에 쓴 체크인과 목표 진척, 기간별로 맡았던 과업을 정리해 함께 보냅니다. 평가 참고 자료로 확인해 주시면 감사하겠습니다.</t>
        </is>
      </c>
      <c r="N49" s="14" t="inlineStr">
        <is>
          <t>요약 보내기</t>
        </is>
      </c>
      <c r="O49" s="3" t="inlineStr">
        <is>
          <t>새 평가자에게 보낼 이전 기간 성과 요약을 잡아봤어요. 항목을 더할까요?</t>
        </is>
      </c>
      <c r="P49" s="3" t="inlineStr">
        <is>
          <t>더 간결하게 · 달성 수치 넣어서 · 이전 조직장도 참조</t>
        </is>
      </c>
      <c r="Q49" s="3" t="inlineStr">
        <is>
          <t>요약을 보냈어요</t>
        </is>
      </c>
      <c r="R49" s="3" t="inlineStr">
        <is>
          <t>평가 참고 자료로 함께 첨부됐습니다.</t>
        </is>
      </c>
    </row>
    <row r="50" ht="78" customHeight="1">
      <c r="A50" s="14" t="n">
        <v>48</v>
      </c>
      <c r="B50" s="3" t="inlineStr">
        <is>
          <t>평가-팀장-01</t>
        </is>
      </c>
      <c r="C50" s="14" t="inlineStr">
        <is>
          <t>평가</t>
        </is>
      </c>
      <c r="D50" s="3" t="inlineStr">
        <is>
          <t>팀장(1차 평가자)</t>
        </is>
      </c>
      <c r="E50" s="14" t="inlineStr">
        <is>
          <t>T1 기한 도래</t>
        </is>
      </c>
      <c r="F50" s="14" t="inlineStr">
        <is>
          <t>◈ amber</t>
        </is>
      </c>
      <c r="G50" s="3" t="inlineStr">
        <is>
          <t>B님 1차 평가 마감이 사흘 남았어요</t>
        </is>
      </c>
      <c r="H50" s="3" t="inlineStr">
        <is>
          <t>팀원 5명 중 3명은 끝났고 B님만 남았어요</t>
        </is>
      </c>
      <c r="I50" s="3" t="inlineStr">
        <is>
          <t>&lt;b&gt;B님&lt;/b&gt; 1차 평가가 아직 작성되지 않았어요</t>
        </is>
      </c>
      <c r="J50" s="3" t="inlineStr">
        <is>
          <t>직속 팀원 &lt;b&gt;5명 중 3명&lt;/b&gt;은 작성이 끝났어요</t>
        </is>
      </c>
      <c r="K50" s="3" t="inlineStr">
        <is>
          <t>1차 평가 마감까지 &lt;b&gt;3일&lt;/b&gt;이 남아 있어요</t>
        </is>
      </c>
      <c r="L50" s="3" t="inlineStr">
        <is>
          <t>행동 · 1차 평가 초안 (수정할 수 있어요)</t>
        </is>
      </c>
      <c r="M50" s="3" t="inlineStr">
        <is>
          <t>B님의 목표·핵심결과 가중 달성률과 이번 기간 체크인 문장, 동료 리뷰의 강점·개발 코멘트, 3요소 원점수를 모아 1차 평가 근거를 정리했습니다. 체크인에 장애요인으로 남은 사항은 달성률을 읽는 맥락으로 함께 반영했습니다.</t>
        </is>
      </c>
      <c r="N50" s="14" t="inlineStr">
        <is>
          <t>1차 평가 저장</t>
        </is>
      </c>
      <c r="O50" s="3" t="inlineStr">
        <is>
          <t>B님 1차 평가 초안을 근거와 함께 정리했어요. 어디를 다듬어 드릴까요?</t>
        </is>
      </c>
      <c r="P50" s="3" t="inlineStr">
        <is>
          <t>근거를 더 구체적으로 · 개발 포인트 중심 · 더 짧게</t>
        </is>
      </c>
      <c r="Q50" s="3" t="inlineStr">
        <is>
          <t>1차 평가 초안을 저장했어요</t>
        </is>
      </c>
      <c r="R50" s="3" t="inlineStr">
        <is>
          <t>확정 전까지 근거와 함께 수정할 수 있습니다.</t>
        </is>
      </c>
    </row>
    <row r="51" ht="78" customHeight="1">
      <c r="A51" s="14" t="n">
        <v>49</v>
      </c>
      <c r="B51" s="3" t="inlineStr">
        <is>
          <t>평가-팀장-02</t>
        </is>
      </c>
      <c r="C51" s="14" t="inlineStr">
        <is>
          <t>평가</t>
        </is>
      </c>
      <c r="D51" s="3" t="inlineStr">
        <is>
          <t>팀장(1차 평가자)</t>
        </is>
      </c>
      <c r="E51" s="14" t="inlineStr">
        <is>
          <t>T3 기준 이탈</t>
        </is>
      </c>
      <c r="F51" s="14" t="inlineStr">
        <is>
          <t>◐ purple</t>
        </is>
      </c>
      <c r="G51" s="3" t="inlineStr">
        <is>
          <t>B님 체크인이 2건에 머물러 있어요</t>
        </is>
      </c>
      <c r="H51" s="3" t="inlineStr">
        <is>
          <t>팀 평균 9건인데 마감까지 열흘 남았어요</t>
        </is>
      </c>
      <c r="I51" s="3" t="inlineStr">
        <is>
          <t>B님의 이번 기간 &lt;b&gt;체크인&lt;/b&gt;이 2건이에요</t>
        </is>
      </c>
      <c r="J51" s="3" t="inlineStr">
        <is>
          <t>같은 팀 &lt;b&gt;평균 9건&lt;/b&gt;의 절반에 못 미쳐요</t>
        </is>
      </c>
      <c r="K51" s="3" t="inlineStr">
        <is>
          <t>&lt;b&gt;동료 리뷰&lt;/b&gt;도 0건이고 마감까지 10일 남았어요</t>
        </is>
      </c>
      <c r="L51" s="3" t="inlineStr">
        <is>
          <t>행동 · 기록 요청 초안 (수정할 수 있어요)</t>
        </is>
      </c>
      <c r="M51" s="3" t="inlineStr">
        <is>
          <t>이번 평가 기간에 남은 체크인이 2건이라 1차 평가에 담을 근거가 많지 않습니다. 마감까지 10일 남았으니 핵심결과 목표값 대비 현재값과 진행한 과업을 체크인으로 채워 주세요. 필요하면 초안을 함께 만들어 드리겠습니다.</t>
        </is>
      </c>
      <c r="N51" s="14" t="inlineStr">
        <is>
          <t>요청 보내기</t>
        </is>
      </c>
      <c r="O51" s="3" t="inlineStr">
        <is>
          <t>B님에게 보낼 기록 요청 문구를 잡아봤어요. 톤을 조정해 드릴까요?</t>
        </is>
      </c>
      <c r="P51" s="3" t="inlineStr">
        <is>
          <t>더 부드럽게 · 마감일 강조 · 예시 항목 넣어서</t>
        </is>
      </c>
      <c r="Q51" s="3" t="inlineStr">
        <is>
          <t>요청을 보냈어요</t>
        </is>
      </c>
      <c r="R51" s="3" t="inlineStr">
        <is>
          <t>보냄·받음 기록이 함께 남았습니다.</t>
        </is>
      </c>
    </row>
    <row r="52" ht="78" customHeight="1">
      <c r="A52" s="14" t="n">
        <v>50</v>
      </c>
      <c r="B52" s="3" t="inlineStr">
        <is>
          <t>평가-팀장-03</t>
        </is>
      </c>
      <c r="C52" s="14" t="inlineStr">
        <is>
          <t>평가</t>
        </is>
      </c>
      <c r="D52" s="3" t="inlineStr">
        <is>
          <t>팀장(1차 평가자)</t>
        </is>
      </c>
      <c r="E52" s="14" t="inlineStr">
        <is>
          <t>T4 연결 불일치</t>
        </is>
      </c>
      <c r="F52" s="14" t="inlineStr">
        <is>
          <t>◎ blue</t>
        </is>
      </c>
      <c r="G52" s="3" t="inlineStr">
        <is>
          <t>B님 A등급인데 달성률은 52%예요</t>
        </is>
      </c>
      <c r="H52" s="3" t="inlineStr">
        <is>
          <t>같은 팀 A등급 평균 달성률은 84%예요</t>
        </is>
      </c>
      <c r="I52" s="3" t="inlineStr">
        <is>
          <t>&lt;b&gt;B님&lt;/b&gt; 1차 등급은 A, 가중 달성률은 52%예요</t>
        </is>
      </c>
      <c r="J52" s="3" t="inlineStr">
        <is>
          <t>같은 팀 &lt;b&gt;A등급 평균 달성률 84%&lt;/b&gt;와 차이가 있어요</t>
        </is>
      </c>
      <c r="K52" s="3" t="inlineStr">
        <is>
          <t>&lt;b&gt;평가 근거&lt;/b&gt;에 그 차이를 설명한 문장이 없어요</t>
        </is>
      </c>
      <c r="L52" s="3" t="inlineStr">
        <is>
          <t>행동 · 평가 근거 보완 초안 (수정할 수 있어요)</t>
        </is>
      </c>
      <c r="M52" s="3" t="inlineStr">
        <is>
          <t>B님의 가중 달성률은 52%로 같은 팀 A등급 평균 84%보다 낮습니다. 다만 체크인에 남은 장애요인과 핵심결과 난이도 근거, 동료 리뷰의 강점 코멘트를 함께 반영해 A등급으로 판단했음을 근거 문장에 명시했습니다.</t>
        </is>
      </c>
      <c r="N52" s="14" t="inlineStr">
        <is>
          <t>근거 보완 저장</t>
        </is>
      </c>
      <c r="O52" s="3" t="inlineStr">
        <is>
          <t>달성률과 등급 차이를 설명하는 근거 문장을 보태봤어요. 더 다듬을까요?</t>
        </is>
      </c>
      <c r="P52" s="3" t="inlineStr">
        <is>
          <t>난이도 근거 인용 · 동료 리뷰 반영 · 등급을 다시 볼래</t>
        </is>
      </c>
      <c r="Q52" s="3" t="inlineStr">
        <is>
          <t>평가 근거를 보완했어요</t>
        </is>
      </c>
      <c r="R52" s="3" t="inlineStr">
        <is>
          <t>수정 이력이 남아 2차 평가에 함께 전달됩니다.</t>
        </is>
      </c>
    </row>
    <row r="53" ht="78" customHeight="1">
      <c r="A53" s="14" t="n">
        <v>51</v>
      </c>
      <c r="B53" s="3" t="inlineStr">
        <is>
          <t>평가-팀장-04</t>
        </is>
      </c>
      <c r="C53" s="14" t="inlineStr">
        <is>
          <t>평가</t>
        </is>
      </c>
      <c r="D53" s="3" t="inlineStr">
        <is>
          <t>팀장(1차 평가자)</t>
        </is>
      </c>
      <c r="E53" s="14" t="inlineStr">
        <is>
          <t>T5 상황 변동</t>
        </is>
      </c>
      <c r="F53" s="14" t="inlineStr">
        <is>
          <t>◆ green</t>
        </is>
      </c>
      <c r="G53" s="3" t="inlineStr">
        <is>
          <t>C님 근거 4개월치가 이전 조직에 있어요</t>
        </is>
      </c>
      <c r="H53" s="3" t="inlineStr">
        <is>
          <t>6개월 중 4개월이 이전 조직 소속이었어요</t>
        </is>
      </c>
      <c r="I53" s="3" t="inlineStr">
        <is>
          <t>&lt;b&gt;C님&lt;/b&gt;이 우리 팀에서 쓴 체크인은 1건이에요</t>
        </is>
      </c>
      <c r="J53" s="3" t="inlineStr">
        <is>
          <t>평가 대상 기간 6개월 중 &lt;b&gt;4개월&lt;/b&gt;이 이전 조직 소속이에요</t>
        </is>
      </c>
      <c r="K53" s="3" t="inlineStr">
        <is>
          <t>발령일은 &lt;b&gt;2026-05-01&lt;/b&gt;로 확인돼요</t>
        </is>
      </c>
      <c r="L53" s="3" t="inlineStr">
        <is>
          <t>행동 · 근거 요청 초안 (수정할 수 있어요)</t>
        </is>
      </c>
      <c r="M53" s="3" t="inlineStr">
        <is>
          <t>안녕하세요. C님이 2026-05-01자로 저희 팀에 합류했는데, 평가 대상 기간 6개월 중 4개월이 이전 조직 소속이었습니다. 그 기간의 목표와 체크인 문장, 진척률과 확신도를 평가 참고 자료로 공유해 주시면 1차 평가에 함께 반영하겠습니다.</t>
        </is>
      </c>
      <c r="N53" s="14" t="inlineStr">
        <is>
          <t>근거 요청 보내기</t>
        </is>
      </c>
      <c r="O53" s="3" t="inlineStr">
        <is>
          <t>이전 조직장에게 보낼 근거 요청 문구를 잡아봤어요. 조정해 드릴까요?</t>
        </is>
      </c>
      <c r="P53" s="3" t="inlineStr">
        <is>
          <t>기간을 명시해서 · 더 정중하게 · 회신 기한 넣어서</t>
        </is>
      </c>
      <c r="Q53" s="3" t="inlineStr">
        <is>
          <t>근거 요청을 보냈어요</t>
        </is>
      </c>
      <c r="R53" s="3" t="inlineStr">
        <is>
          <t>회신이 오면 C님 평가에 함께 붙여 둡니다.</t>
        </is>
      </c>
    </row>
    <row r="54" ht="78" customHeight="1">
      <c r="A54" s="14" t="n">
        <v>52</v>
      </c>
      <c r="B54" s="3" t="inlineStr">
        <is>
          <t>평가-상위조직장-01</t>
        </is>
      </c>
      <c r="C54" s="14" t="inlineStr">
        <is>
          <t>평가</t>
        </is>
      </c>
      <c r="D54" s="3" t="inlineStr">
        <is>
          <t>상위 조직장(2차 평가자)</t>
        </is>
      </c>
      <c r="E54" s="14" t="inlineStr">
        <is>
          <t>T1 기한 도래</t>
        </is>
      </c>
      <c r="F54" s="14" t="inlineStr">
        <is>
          <t>◈ amber</t>
        </is>
      </c>
      <c r="G54" s="3" t="inlineStr">
        <is>
          <t>하위 2개 팀 1차 평가 제출률이 0%예요</t>
        </is>
      </c>
      <c r="H54" s="3" t="inlineStr">
        <is>
          <t>마감이 이틀 남았는데 조직 평균은 74%예요</t>
        </is>
      </c>
      <c r="I54" s="3" t="inlineStr">
        <is>
          <t>하위 8개 팀 중 &lt;b&gt;2개 팀&lt;/b&gt; 제출률이 0%예요</t>
        </is>
      </c>
      <c r="J54" s="3" t="inlineStr">
        <is>
          <t>내 조직 &lt;b&gt;평균 제출률&lt;/b&gt;은 74%로 집계돼요</t>
        </is>
      </c>
      <c r="K54" s="3" t="inlineStr">
        <is>
          <t>마감까지 &lt;b&gt;2일&lt;/b&gt; 남아 팀 단위로 챙길 시점이에요</t>
        </is>
      </c>
      <c r="L54" s="3" t="inlineStr">
        <is>
          <t>행동 · 마감 안내 초안 (수정할 수 있어요)</t>
        </is>
      </c>
      <c r="M54" s="3" t="inlineStr">
        <is>
          <t>1차 평가 마감이 2일 남았습니다. 현재 조직 평균 제출률은 74%인데 두 팀은 아직 0%입니다. 담당 팀원 평가를 마감 전에 제출해 주시고, 근거 정리가 필요하면 Agent 초안을 활용해 주세요.</t>
        </is>
      </c>
      <c r="N54" s="14" t="inlineStr">
        <is>
          <t>안내 보내기</t>
        </is>
      </c>
      <c r="O54" s="3" t="inlineStr">
        <is>
          <t>제출이 안 된 두 팀장에게 보낼 마감 안내를 잡아봤어요. 조정할까요?</t>
        </is>
      </c>
      <c r="P54" s="3" t="inlineStr">
        <is>
          <t>팀별 맞춤으로 · 톤을 담백하게 · 마감일 강조</t>
        </is>
      </c>
      <c r="Q54" s="3" t="inlineStr">
        <is>
          <t>마감 안내를 보냈어요</t>
        </is>
      </c>
      <c r="R54" s="3" t="inlineStr">
        <is>
          <t>두 팀장에게 전달되고 발송 기록이 남습니다.</t>
        </is>
      </c>
    </row>
    <row r="55" ht="78" customHeight="1">
      <c r="A55" s="14" t="n">
        <v>53</v>
      </c>
      <c r="B55" s="3" t="inlineStr">
        <is>
          <t>평가-상위조직장-02</t>
        </is>
      </c>
      <c r="C55" s="14" t="inlineStr">
        <is>
          <t>평가</t>
        </is>
      </c>
      <c r="D55" s="3" t="inlineStr">
        <is>
          <t>상위 조직장(2차 평가자)</t>
        </is>
      </c>
      <c r="E55" s="14" t="inlineStr">
        <is>
          <t>T2 작성 공백</t>
        </is>
      </c>
      <c r="F55" s="14" t="inlineStr">
        <is>
          <t>◇ coral</t>
        </is>
      </c>
      <c r="G55" s="3" t="inlineStr">
        <is>
          <t>E팀장 평가 11건 중 8건 근거가 짧아요</t>
        </is>
      </c>
      <c r="H55" s="3" t="inlineStr">
        <is>
          <t>내 조직 평균 근거 길이는 180자예요</t>
        </is>
      </c>
      <c r="I55" s="3" t="inlineStr">
        <is>
          <t>&lt;b&gt;E팀장&lt;/b&gt; 제출 평가 11건 중 8건이 40자 미만이에요</t>
        </is>
      </c>
      <c r="J55" s="3" t="inlineStr">
        <is>
          <t>&lt;b&gt;내 조직 평균&lt;/b&gt; 근거 길이 180자와 차이가 커요</t>
        </is>
      </c>
      <c r="K55" s="3" t="inlineStr">
        <is>
          <t>담당 팀원 &lt;b&gt;30%&lt;/b&gt; 기준을 넘어선 상태예요</t>
        </is>
      </c>
      <c r="L55" s="3" t="inlineStr">
        <is>
          <t>행동 · 근거 보완 요청 초안 (수정할 수 있어요)</t>
        </is>
      </c>
      <c r="M55" s="3" t="inlineStr">
        <is>
          <t>E팀장께 평가 근거 보완을 요청합니다. 제출된 평가 11건 중 8건의 근거 문장이 40자 미만으로, 조직 평균 180자와 차이가 큽니다. 해당 팀원의 목표 진척과 체크인 코멘트, 핵심결과 달성값을 인용해 근거를 다시 채워 주시기 바랍니다.</t>
        </is>
      </c>
      <c r="N55" s="14" t="inlineStr">
        <is>
          <t>보완 요청하기</t>
        </is>
      </c>
      <c r="O55" s="3" t="inlineStr">
        <is>
          <t>E팀장에게 보낼 근거 보완 요청을 정리했어요. 표현을 다듬을까요?</t>
        </is>
      </c>
      <c r="P55" s="3" t="inlineStr">
        <is>
          <t>대상 평가 목록 첨부 · 더 담백하게 · 기한을 정해서</t>
        </is>
      </c>
      <c r="Q55" s="3" t="inlineStr">
        <is>
          <t>보완을 요청했어요</t>
        </is>
      </c>
      <c r="R55" s="3" t="inlineStr">
        <is>
          <t>요청 이력과 승인 흐름에 함께 기록됩니다.</t>
        </is>
      </c>
    </row>
    <row r="56" ht="78" customHeight="1">
      <c r="A56" s="14" t="n">
        <v>54</v>
      </c>
      <c r="B56" s="3" t="inlineStr">
        <is>
          <t>평가-상위조직장-03</t>
        </is>
      </c>
      <c r="C56" s="14" t="inlineStr">
        <is>
          <t>평가</t>
        </is>
      </c>
      <c r="D56" s="3" t="inlineStr">
        <is>
          <t>상위 조직장(2차 평가자)</t>
        </is>
      </c>
      <c r="E56" s="14" t="inlineStr">
        <is>
          <t>T3 기준 이탈</t>
        </is>
      </c>
      <c r="F56" s="14" t="inlineStr">
        <is>
          <t>◐ purple</t>
        </is>
      </c>
      <c r="G56" s="3" t="inlineStr">
        <is>
          <t>F팀장 상위 등급이 82%로 쏠려 있어요</t>
        </is>
      </c>
      <c r="H56" s="3" t="inlineStr">
        <is>
          <t>제도 권고 상한은 50%, 조직 평균은 41%예요</t>
        </is>
      </c>
      <c r="I56" s="3" t="inlineStr">
        <is>
          <t>&lt;b&gt;F팀장&lt;/b&gt; 부여 등급 중 S·A가 82%예요</t>
        </is>
      </c>
      <c r="J56" s="3" t="inlineStr">
        <is>
          <t>&lt;b&gt;제도 권고 상한 50%&lt;/b&gt;, 내 조직 평균은 41%예요</t>
        </is>
      </c>
      <c r="K56" s="3" t="inlineStr">
        <is>
          <t>같은 평가자의 &lt;b&gt;지난 두 사이클&lt;/b&gt; 분포도 함께 봤어요</t>
        </is>
      </c>
      <c r="L56" s="3" t="inlineStr">
        <is>
          <t>행동 · 등급 조정 회의(calibration) 아젠다 초안 (수정할 수 있어요)</t>
        </is>
      </c>
      <c r="M56" s="3" t="inlineStr">
        <is>
          <t>1) F팀장 부여 등급 분포 82%와 조직 평균 41%·제도 권고 상한 50% 비교 확인
2) 해당 팀 목표 달성 정규화 점수 분포와 부여 등급의 대응 검토
3) 지난 두 사이클 분포를 함께 놓고 조정이 필요한 구간 합의</t>
        </is>
      </c>
      <c r="N56" s="14" t="inlineStr">
        <is>
          <t>조정 회의 잡기</t>
        </is>
      </c>
      <c r="O56" s="3" t="inlineStr">
        <is>
          <t>F팀장 등급 분포 근거를 정리했어요. 회의 항목을 더 다듬을까요?</t>
        </is>
      </c>
      <c r="P56" s="3" t="inlineStr">
        <is>
          <t>분포 비교표 첨부 · 다른 팀장과 비교 · 정중한 안내문으로</t>
        </is>
      </c>
      <c r="Q56" s="3" t="inlineStr">
        <is>
          <t>조정 회의를 요청했어요</t>
        </is>
      </c>
      <c r="R56" s="3" t="inlineStr">
        <is>
          <t>회의 항목과 분포 자료가 함께 전달됩니다.</t>
        </is>
      </c>
    </row>
    <row r="57" ht="78" customHeight="1">
      <c r="A57" s="14" t="n">
        <v>55</v>
      </c>
      <c r="B57" s="3" t="inlineStr">
        <is>
          <t>평가-상위조직장-04</t>
        </is>
      </c>
      <c r="C57" s="14" t="inlineStr">
        <is>
          <t>평가</t>
        </is>
      </c>
      <c r="D57" s="3" t="inlineStr">
        <is>
          <t>상위 조직장(2차 평가자)</t>
        </is>
      </c>
      <c r="E57" s="14" t="inlineStr">
        <is>
          <t>T4 연결 불일치</t>
        </is>
      </c>
      <c r="F57" s="14" t="inlineStr">
        <is>
          <t>◎ blue</t>
        </is>
      </c>
      <c r="G57" s="3" t="inlineStr">
        <is>
          <t>S등급 3건이 조직 중위값 아래에 있어요</t>
        </is>
      </c>
      <c r="H57" s="3" t="inlineStr">
        <is>
          <t>평균 대비 14점 낮은데 등급은 상위예요</t>
        </is>
      </c>
      <c r="I57" s="3" t="inlineStr">
        <is>
          <t>&lt;b&gt;S등급 3건&lt;/b&gt;의 목표 달성 점수가 중위값 아래예요</t>
        </is>
      </c>
      <c r="J57" s="3" t="inlineStr">
        <is>
          <t>조직 &lt;b&gt;평균 대비 14점&lt;/b&gt; 낮은 수준이에요</t>
        </is>
      </c>
      <c r="K57" s="3" t="inlineStr">
        <is>
          <t>부여 등급과 &lt;b&gt;목표 달성 정규화 점수&lt;/b&gt;의 방향이 달라요</t>
        </is>
      </c>
      <c r="L57" s="3" t="inlineStr">
        <is>
          <t>행동 · 재검토 요청 초안 (수정할 수 있어요)</t>
        </is>
      </c>
      <c r="M57" s="3" t="inlineStr">
        <is>
          <t>등급과 목표 달성 점수가 벌어진 3건에 대해 재검토를 요청합니다. 세 건 모두 S등급이지만 목표 달성 정규화 점수가 조직 중위값 아래이고 평균 대비 14점 낮습니다. 해당 팀원의 진척 이력과 평가 근거 원문을 함께 확인해 주시기 바랍니다.</t>
        </is>
      </c>
      <c r="N57" s="14" t="inlineStr">
        <is>
          <t>재검토 요청하기</t>
        </is>
      </c>
      <c r="O57" s="3" t="inlineStr">
        <is>
          <t>등급과 점수가 벌어진 3건을 묶어 요청안을 잡았어요. 조정할까요?</t>
        </is>
      </c>
      <c r="P57" s="3" t="inlineStr">
        <is>
          <t>대상 3건 목록 · 점수 근거 붙여서 · 1차 평가자별로</t>
        </is>
      </c>
      <c r="Q57" s="3" t="inlineStr">
        <is>
          <t>재검토를 요청했어요</t>
        </is>
      </c>
      <c r="R57" s="3" t="inlineStr">
        <is>
          <t>재검토 결과는 등급 변경 이력에 남습니다.</t>
        </is>
      </c>
    </row>
    <row r="58" ht="78" customHeight="1">
      <c r="A58" s="14" t="n">
        <v>56</v>
      </c>
      <c r="B58" s="3" t="inlineStr">
        <is>
          <t>평가-상위조직장-05</t>
        </is>
      </c>
      <c r="C58" s="14" t="inlineStr">
        <is>
          <t>평가</t>
        </is>
      </c>
      <c r="D58" s="3" t="inlineStr">
        <is>
          <t>상위 조직장(2차 평가자)</t>
        </is>
      </c>
      <c r="E58" s="14" t="inlineStr">
        <is>
          <t>T5 상황 변동</t>
        </is>
      </c>
      <c r="F58" s="14" t="inlineStr">
        <is>
          <t>◆ green</t>
        </is>
      </c>
      <c r="G58" s="3" t="inlineStr">
        <is>
          <t>G팀장이 제출 뒤 등급 2건을 바꿨어요</t>
        </is>
      </c>
      <c r="H58" s="3" t="inlineStr">
        <is>
          <t>B에서 A로 올린 2건에 사유 기록이 없어요</t>
        </is>
      </c>
      <c r="I58" s="3" t="inlineStr">
        <is>
          <t>&lt;b&gt;G팀장&lt;/b&gt;이 제출 뒤 등급을 2건 바꿨어요</t>
        </is>
      </c>
      <c r="J58" s="3" t="inlineStr">
        <is>
          <t>변경 내용은 모두 &lt;b&gt;B → A&lt;/b&gt; 2건이에요</t>
        </is>
      </c>
      <c r="K58" s="3" t="inlineStr">
        <is>
          <t>두 건 모두 &lt;b&gt;변경 사유&lt;/b&gt; 기록이 남아 있지 않아요</t>
        </is>
      </c>
      <c r="L58" s="3" t="inlineStr">
        <is>
          <t>행동 · 사유 기록 요청 초안 (수정할 수 있어요)</t>
        </is>
      </c>
      <c r="M58" s="3" t="inlineStr">
        <is>
          <t>제출 이후 등급이 바뀐 2건의 사유 기록을 요청합니다. 두 건 모두 B에서 A로 변경됐고 변경 사유 문장이 남아 있지 않습니다. 대상 팀원의 3요소 점수와 진척, 평가 근거를 함께 인용해 변경 사유를 남겨 주시기 바랍니다.</t>
        </is>
      </c>
      <c r="N58" s="14" t="inlineStr">
        <is>
          <t>사유 기록 요청</t>
        </is>
      </c>
      <c r="O58" s="3" t="inlineStr">
        <is>
          <t>등급이 바뀐 2건의 사유 요청을 정리했어요. 문구를 다듬을까요?</t>
        </is>
      </c>
      <c r="P58" s="3" t="inlineStr">
        <is>
          <t>변경 전후 표로 · 승인 기준 안내 · 톤을 부드럽게</t>
        </is>
      </c>
      <c r="Q58" s="3" t="inlineStr">
        <is>
          <t>사유 기록을 요청했어요</t>
        </is>
      </c>
      <c r="R58" s="3" t="inlineStr">
        <is>
          <t>사유가 등록되면 승인·반송을 고를 수 있습니다.</t>
        </is>
      </c>
    </row>
    <row r="59" ht="78" customHeight="1">
      <c r="A59" s="14" t="n">
        <v>57</v>
      </c>
      <c r="B59" s="3" t="inlineStr">
        <is>
          <t>평가-HR경영진-01</t>
        </is>
      </c>
      <c r="C59" s="14" t="inlineStr">
        <is>
          <t>평가</t>
        </is>
      </c>
      <c r="D59" s="3" t="inlineStr">
        <is>
          <t>HR·경영진</t>
        </is>
      </c>
      <c r="E59" s="14" t="inlineStr">
        <is>
          <t>T1 기한 도래</t>
        </is>
      </c>
      <c r="F59" s="14" t="inlineStr">
        <is>
          <t>◈ amber</t>
        </is>
      </c>
      <c r="G59" s="3" t="inlineStr">
        <is>
          <t>전사 1차 평가 제출률이 52%예요</t>
        </is>
      </c>
      <c r="H59" s="3" t="inlineStr">
        <is>
          <t>마감 이틀 전 제도 기준은 85%예요</t>
        </is>
      </c>
      <c r="I59" s="3" t="inlineStr">
        <is>
          <t>마감 2일 전 &lt;b&gt;전사 제출률 52%&lt;/b&gt;로 집계돼요</t>
        </is>
      </c>
      <c r="J59" s="3" t="inlineStr">
        <is>
          <t>같은 시점 &lt;b&gt;제도 기준값&lt;/b&gt;은 85%로 정해져 있어요</t>
        </is>
      </c>
      <c r="K59" s="3" t="inlineStr">
        <is>
          <t>제출률 50% 미만 조직이 &lt;b&gt;38개 중 8개&lt;/b&gt;예요</t>
        </is>
      </c>
      <c r="L59" s="3" t="inlineStr">
        <is>
          <t>행동 · 조직별 마감 안내 초안 (수정할 수 있어요)</t>
        </is>
      </c>
      <c r="M59" s="3" t="inlineStr">
        <is>
          <t>1차 평가 마감이 이틀 남았습니다. 2026-07-16 기준 전사 제출률은 52%로 같은 시점 제도 기준 85%에 못 미칩니다. 제출률 50% 미만인 8개 조직의 평가자께서는 마감 전 제출을 완료해 주시고, 남은 건수는 조직별 현황에서 확인해 주세요.</t>
        </is>
      </c>
      <c r="N59" s="14" t="inlineStr">
        <is>
          <t>안내 발송하기</t>
        </is>
      </c>
      <c r="O59" s="3" t="inlineStr">
        <is>
          <t>제출이 밀린 8개 조직에 보낼 마감 안내를 잡아봤어요. 조정할까요?</t>
        </is>
      </c>
      <c r="P59" s="3" t="inlineStr">
        <is>
          <t>조직별 현황 첨부 · 지난 사이클 비교 · 요약만 담아서</t>
        </is>
      </c>
      <c r="Q59" s="3" t="inlineStr">
        <is>
          <t>마감 안내를 발송했어요</t>
        </is>
      </c>
      <c r="R59" s="3" t="inlineStr">
        <is>
          <t>8개 조직 평가자에게 전달되고 발송 기록이 남습니다.</t>
        </is>
      </c>
    </row>
    <row r="60" ht="78" customHeight="1">
      <c r="A60" s="14" t="n">
        <v>58</v>
      </c>
      <c r="B60" s="3" t="inlineStr">
        <is>
          <t>평가-HR경영진-02</t>
        </is>
      </c>
      <c r="C60" s="14" t="inlineStr">
        <is>
          <t>평가</t>
        </is>
      </c>
      <c r="D60" s="3" t="inlineStr">
        <is>
          <t>HR·경영진</t>
        </is>
      </c>
      <c r="E60" s="14" t="inlineStr">
        <is>
          <t>T2 작성 공백</t>
        </is>
      </c>
      <c r="F60" s="14" t="inlineStr">
        <is>
          <t>◇ coral</t>
        </is>
      </c>
      <c r="G60" s="3" t="inlineStr">
        <is>
          <t>3개 조직 평가 근거가 평균 42자예요</t>
        </is>
      </c>
      <c r="H60" s="3" t="inlineStr">
        <is>
          <t>제도 기준은 200자, 전사 평균은 260자예요</t>
        </is>
      </c>
      <c r="I60" s="3" t="inlineStr">
        <is>
          <t>&lt;b&gt;3개 조직&lt;/b&gt; 평가 근거 길이가 평균 42자예요</t>
        </is>
      </c>
      <c r="J60" s="3" t="inlineStr">
        <is>
          <t>&lt;b&gt;제도 기준 200자&lt;/b&gt;·전사 평균 260자와 차이가 커요</t>
        </is>
      </c>
      <c r="K60" s="3" t="inlineStr">
        <is>
          <t>체크인·다면진단 기록을 인용하지 않은 평가가 &lt;b&gt;19건&lt;/b&gt;이에요</t>
        </is>
      </c>
      <c r="L60" s="3" t="inlineStr">
        <is>
          <t>행동 · 조직별 근거 보완 요청 초안 (수정할 수 있어요)</t>
        </is>
      </c>
      <c r="M60" s="3" t="inlineStr">
        <is>
          <t>세 개 조직에 평가 근거 보완을 요청합니다. 2026-07-16 기준 해당 조직의 근거 요약문은 평균 42자로 제도 기준 200자와 전사 평균 260자에 못 미치고, 체크인·다면진단 기록을 한 건도 인용하지 않은 평가가 19건입니다. 인용할 수 있는 기록 목록을 함께 보내 드립니다.</t>
        </is>
      </c>
      <c r="N60" s="14" t="inlineStr">
        <is>
          <t>보완 요청 발송</t>
        </is>
      </c>
      <c r="O60" s="3" t="inlineStr">
        <is>
          <t>근거가 짧은 조직 세 곳에 보낼 보완 요청을 정리했어요. 다듬을까요?</t>
        </is>
      </c>
      <c r="P60" s="3" t="inlineStr">
        <is>
          <t>인용 가능 기록 첨부 · 조직별로 나눠서 · 보완 기한 명시</t>
        </is>
      </c>
      <c r="Q60" s="3" t="inlineStr">
        <is>
          <t>근거 보완을 요청했어요</t>
        </is>
      </c>
      <c r="R60" s="3" t="inlineStr">
        <is>
          <t>조직별 보완 이행 상태가 함께 기록됩니다.</t>
        </is>
      </c>
    </row>
    <row r="61" ht="78" customHeight="1">
      <c r="A61" s="14" t="n">
        <v>59</v>
      </c>
      <c r="B61" s="3" t="inlineStr">
        <is>
          <t>평가-HR경영진-03</t>
        </is>
      </c>
      <c r="C61" s="14" t="inlineStr">
        <is>
          <t>평가</t>
        </is>
      </c>
      <c r="D61" s="3" t="inlineStr">
        <is>
          <t>HR·경영진</t>
        </is>
      </c>
      <c r="E61" s="14" t="inlineStr">
        <is>
          <t>T3 기준 이탈</t>
        </is>
      </c>
      <c r="F61" s="14" t="inlineStr">
        <is>
          <t>◐ purple</t>
        </is>
      </c>
      <c r="G61" s="3" t="inlineStr">
        <is>
          <t>B조직 상위 등급 비중이 61%예요</t>
        </is>
      </c>
      <c r="H61" s="3" t="inlineStr">
        <is>
          <t>제도 가이드라인은 30%, 전사는 28%예요</t>
        </is>
      </c>
      <c r="I61" s="3" t="inlineStr">
        <is>
          <t>&lt;b&gt;B조직&lt;/b&gt; S·A 등급 비중이 61%예요</t>
        </is>
      </c>
      <c r="J61" s="3" t="inlineStr">
        <is>
          <t>&lt;b&gt;제도 가이드라인 30%&lt;/b&gt;·전사 28%와 차이가 있어요</t>
        </is>
      </c>
      <c r="K61" s="3" t="inlineStr">
        <is>
          <t>해당 조직 평가 대상자는 &lt;b&gt;23명&lt;/b&gt;이에요</t>
        </is>
      </c>
      <c r="L61" s="3" t="inlineStr">
        <is>
          <t>행동 · 등급 조정 회의 소집 초안 (수정할 수 있어요)</t>
        </is>
      </c>
      <c r="M61" s="3" t="inlineStr">
        <is>
          <t>B조직을 등급 조정 회의 대상으로 올립니다. 상위 등급 비중이 61%로 제도 가이드라인 30%와 전사 평균 28%를 웃돌고, 평가 대상자는 23명입니다. 조직별 등급 분포 비교와 지난 사이클 분포, 등급별 종합점수 범위를 회의 자료로 함께 준비하겠습니다.</t>
        </is>
      </c>
      <c r="N61" s="14" t="inlineStr">
        <is>
          <t>조정 회의 소집</t>
        </is>
      </c>
      <c r="O61" s="3" t="inlineStr">
        <is>
          <t>B조직 등급 분포 근거를 모았어요. 회의 소집 문구를 다듬을까요?</t>
        </is>
      </c>
      <c r="P61" s="3" t="inlineStr">
        <is>
          <t>지난 사이클 분포 · 점수 범위 함께 · 대상 조직 더 보기</t>
        </is>
      </c>
      <c r="Q61" s="3" t="inlineStr">
        <is>
          <t>조정 회의를 소집했어요</t>
        </is>
      </c>
      <c r="R61" s="3" t="inlineStr">
        <is>
          <t>대상 조직 목록과 조정 결과가 함께 남습니다.</t>
        </is>
      </c>
    </row>
    <row r="62" ht="78" customHeight="1">
      <c r="A62" s="14" t="n">
        <v>60</v>
      </c>
      <c r="B62" s="3" t="inlineStr">
        <is>
          <t>평가-HR경영진-04</t>
        </is>
      </c>
      <c r="C62" s="14" t="inlineStr">
        <is>
          <t>평가</t>
        </is>
      </c>
      <c r="D62" s="3" t="inlineStr">
        <is>
          <t>HR·경영진</t>
        </is>
      </c>
      <c r="E62" s="14" t="inlineStr">
        <is>
          <t>T3 기준 이탈</t>
        </is>
      </c>
      <c r="F62" s="14" t="inlineStr">
        <is>
          <t>◐ purple</t>
        </is>
      </c>
      <c r="G62" s="3" t="inlineStr">
        <is>
          <t>조직 간 상위 등급 격차가 47%포인트예요</t>
        </is>
      </c>
      <c r="H62" s="3" t="inlineStr">
        <is>
          <t>같은 점수 구간에서 등급이 갈린 사람이 14명이에요</t>
        </is>
      </c>
      <c r="I62" s="3" t="inlineStr">
        <is>
          <t>조직 간 상위 등급 비중 격차가 &lt;b&gt;47%포인트&lt;/b&gt;예요</t>
        </is>
      </c>
      <c r="J62" s="3" t="inlineStr">
        <is>
          <t>최고 &lt;b&gt;61%&lt;/b&gt;와 최저 &lt;b&gt;14%&lt;/b&gt; 사이 폭이에요</t>
        </is>
      </c>
      <c r="K62" s="3" t="inlineStr">
        <is>
          <t>같은 종합점수 구간에서 등급이 갈린 대상자가 &lt;b&gt;14명&lt;/b&gt;이에요</t>
        </is>
      </c>
      <c r="L62" s="3" t="inlineStr">
        <is>
          <t>행동 · 본부 재검토 요청 초안 (수정할 수 있어요)</t>
        </is>
      </c>
      <c r="M62" s="3" t="inlineStr">
        <is>
          <t>조직 간 상위 등급 비중 격차가 47%포인트로 벌어져 있습니다. 최고 61%와 최저 14% 사이 폭이며, 같은 종합점수 구간인데 조직에 따라 등급이 갈린 대상자가 14명입니다. 조직별 등급-점수 대응표를 함께 보내 드리니 해당 본부의 등급 기준을 재검토해 주시기 바랍니다.</t>
        </is>
      </c>
      <c r="N62" s="14" t="inlineStr">
        <is>
          <t>재검토 요청 발송</t>
        </is>
      </c>
      <c r="O62" s="3" t="inlineStr">
        <is>
          <t>조직 간 등급 격차 근거를 정리했어요. 본부별로 나눠 드릴까요?</t>
        </is>
      </c>
      <c r="P62" s="3" t="inlineStr">
        <is>
          <t>본부별로 나눠서 · 점수 대응표 첨부 · 지난 사이클 격차</t>
        </is>
      </c>
      <c r="Q62" s="3" t="inlineStr">
        <is>
          <t>재검토 요청을 보냈어요</t>
        </is>
      </c>
      <c r="R62" s="3" t="inlineStr">
        <is>
          <t>본부별 회신 상태가 함께 기록됩니다.</t>
        </is>
      </c>
    </row>
    <row r="63" ht="78" customHeight="1">
      <c r="A63" s="14" t="n">
        <v>61</v>
      </c>
      <c r="B63" s="3" t="inlineStr">
        <is>
          <t>평가-HR경영진-05</t>
        </is>
      </c>
      <c r="C63" s="14" t="inlineStr">
        <is>
          <t>평가</t>
        </is>
      </c>
      <c r="D63" s="3" t="inlineStr">
        <is>
          <t>HR·경영진</t>
        </is>
      </c>
      <c r="E63" s="14" t="inlineStr">
        <is>
          <t>T4 연결 불일치</t>
        </is>
      </c>
      <c r="F63" s="14" t="inlineStr">
        <is>
          <t>◎ blue</t>
        </is>
      </c>
      <c r="G63" s="3" t="inlineStr">
        <is>
          <t>C조직 진척 46%에 상위 등급 55%예요</t>
        </is>
      </c>
      <c r="H63" s="3" t="inlineStr">
        <is>
          <t>전사는 진척 78%에 상위 등급 28%예요</t>
        </is>
      </c>
      <c r="I63" s="3" t="inlineStr">
        <is>
          <t>&lt;b&gt;C조직&lt;/b&gt; 목표 평균 진척률이 46%예요</t>
        </is>
      </c>
      <c r="J63" s="3" t="inlineStr">
        <is>
          <t>전사 평균은 진척 &lt;b&gt;78%&lt;/b&gt;·상위 등급 &lt;b&gt;28%&lt;/b&gt;예요</t>
        </is>
      </c>
      <c r="K63" s="3" t="inlineStr">
        <is>
          <t>진척 하위 30%인데 상위 등급을 받은 대상자가 &lt;b&gt;12명&lt;/b&gt;이에요</t>
        </is>
      </c>
      <c r="L63" s="3" t="inlineStr">
        <is>
          <t>행동 · 평가 결과 재검토 요청 초안 (수정할 수 있어요)</t>
        </is>
      </c>
      <c r="M63" s="3" t="inlineStr">
        <is>
          <t>C조직 평가 결과의 재검토를 요청합니다. 목표 평균 진척률은 46%로 전사 78%에 못 미치는데 상위 등급 비중은 55%로 전사 28%를 웃돌고, 진척 하위 30% 구간인데 상위 등급을 받은 대상자가 12명입니다. 목표 달성 원점수 분포와 근거 요약문 표본을 함께 확인해 주시기 바랍니다.</t>
        </is>
      </c>
      <c r="N63" s="14" t="inlineStr">
        <is>
          <t>결과 재검토 요청</t>
        </is>
      </c>
      <c r="O63" s="3" t="inlineStr">
        <is>
          <t>진척과 등급이 어긋난 12명을 조직 단위로 묶어 정리했어요. 보완할까요?</t>
        </is>
      </c>
      <c r="P63" s="3" t="inlineStr">
        <is>
          <t>조직 분포 함께 · 원점수 분포 첨부 · 근거 표본 보기</t>
        </is>
      </c>
      <c r="Q63" s="3" t="inlineStr">
        <is>
          <t>결과 재검토를 요청했어요</t>
        </is>
      </c>
      <c r="R63" s="3" t="inlineStr">
        <is>
          <t>재검토 결과는 조직별 이행 상태로 남습니다.</t>
        </is>
      </c>
    </row>
    <row r="64" ht="78" customHeight="1">
      <c r="A64" s="14" t="n">
        <v>62</v>
      </c>
      <c r="B64" s="3" t="inlineStr">
        <is>
          <t>평가-HR경영진-06</t>
        </is>
      </c>
      <c r="C64" s="14" t="inlineStr">
        <is>
          <t>평가</t>
        </is>
      </c>
      <c r="D64" s="3" t="inlineStr">
        <is>
          <t>HR·경영진</t>
        </is>
      </c>
      <c r="E64" s="14" t="inlineStr">
        <is>
          <t>T5 상황 변동</t>
        </is>
      </c>
      <c r="F64" s="14" t="inlineStr">
        <is>
          <t>◆ green</t>
        </is>
      </c>
      <c r="G64" s="3" t="inlineStr">
        <is>
          <t>발령 17명 중 11명에 평가자가 없어요</t>
        </is>
      </c>
      <c r="H64" s="3" t="inlineStr">
        <is>
          <t>평가 기간 중 이동인데 65%가 미지정이에요</t>
        </is>
      </c>
      <c r="I64" s="3" t="inlineStr">
        <is>
          <t>평가 기간 중 발령·조직 이동이 &lt;b&gt;17명&lt;/b&gt;이에요</t>
        </is>
      </c>
      <c r="J64" s="3" t="inlineStr">
        <is>
          <t>그중 새 평가자가 정해지지 않은 사람이 &lt;b&gt;11명(65%)&lt;/b&gt;이에요</t>
        </is>
      </c>
      <c r="K64" s="3" t="inlineStr">
        <is>
          <t>이동이 걸쳐 있는 대상 조직은 &lt;b&gt;5개&lt;/b&gt;예요</t>
        </is>
      </c>
      <c r="L64" s="3" t="inlineStr">
        <is>
          <t>행동 · 평가자 지정 요청 초안 (수정할 수 있어요)</t>
        </is>
      </c>
      <c r="M64" s="3" t="inlineStr">
        <is>
          <t>평가 기간 중 이동한 인원의 평가자 지정과 기간 분할 처리를 요청합니다. 대상은 발령·조직 이동 17명이며 그중 11명(65%)은 새 평가자가 정해지지 않았고, 5개 조직에 걸쳐 있습니다. 이동 전후 재직 기간 비율과 이전 조직에 남은 목표·체크인 기록 건수를 함께 보내 드립니다.</t>
        </is>
      </c>
      <c r="N64" s="14" t="inlineStr">
        <is>
          <t>평가자 지정 요청</t>
        </is>
      </c>
      <c r="O64" s="3" t="inlineStr">
        <is>
          <t>이동 인원의 평가자 지정 요청을 조직별로 정리했어요. 보완할까요?</t>
        </is>
      </c>
      <c r="P64" s="3" t="inlineStr">
        <is>
          <t>조직별 명단 첨부 · 기간 분할 기준 · 처리 기한 명시</t>
        </is>
      </c>
      <c r="Q64" s="3" t="inlineStr">
        <is>
          <t>평가자 지정을 요청했어요</t>
        </is>
      </c>
      <c r="R64" s="3" t="inlineStr">
        <is>
          <t>처리 결과가 평가자 매핑에 반영됩니다.</t>
        </is>
      </c>
    </row>
    <row r="65" ht="78" customHeight="1">
      <c r="A65" s="14" t="n">
        <v>63</v>
      </c>
      <c r="B65" s="3" t="inlineStr">
        <is>
          <t>피드백-구성원-01</t>
        </is>
      </c>
      <c r="C65" s="14" t="inlineStr">
        <is>
          <t>피드백</t>
        </is>
      </c>
      <c r="D65" s="3" t="inlineStr">
        <is>
          <t>구성원</t>
        </is>
      </c>
      <c r="E65" s="14" t="inlineStr">
        <is>
          <t>T1 기한 도래</t>
        </is>
      </c>
      <c r="F65" s="14" t="inlineStr">
        <is>
          <t>◈ amber</t>
        </is>
      </c>
      <c r="G65" s="3" t="inlineStr">
        <is>
          <t>다면진단 배정 5명 중 2명이 남았어요</t>
        </is>
      </c>
      <c r="H65" s="3" t="inlineStr">
        <is>
          <t>제출 기한까지 사흘 남았는데 두 건이 비어 있어요</t>
        </is>
      </c>
      <c r="I65" s="3" t="inlineStr">
        <is>
          <t>배정된 다면진단 &lt;b&gt;5명 중 2명&lt;/b&gt;이 아직 비어 있어요</t>
        </is>
      </c>
      <c r="J65" s="3" t="inlineStr">
        <is>
          <t>제도 기준 제출 기한까지 &lt;b&gt;3일&lt;/b&gt; 남았어요</t>
        </is>
      </c>
      <c r="K65" s="3" t="inlineStr">
        <is>
          <t>남은 두 분과는 &lt;b&gt;같은 목표·핵심결과&lt;/b&gt;에 함께 걸려 있어요</t>
        </is>
      </c>
      <c r="L65" s="3" t="inlineStr">
        <is>
          <t>행동 · 다면진단 초안 (수정할 수 있어요)</t>
        </is>
      </c>
      <c r="M65" s="3" t="inlineStr">
        <is>
          <t>함께 걸린 목표와 핵심결과를 기준으로 남은 2명의 다면진단 초안을 정리했습니다. 같은 목표에서 맡은 역할과 기여를 강점으로 적고, 역량 프로파일 항목별로 함께 남긴 점검 코멘트를 근거로 개발 의견을 덧붙였습니다.</t>
        </is>
      </c>
      <c r="N65" s="14" t="inlineStr">
        <is>
          <t>다면진단 제출</t>
        </is>
      </c>
      <c r="O65" s="3" t="inlineStr">
        <is>
          <t>남은 2명의 다면진단 초안을 정리했어요. 표현이나 길이를 다듬어드릴까요?</t>
        </is>
      </c>
      <c r="P65" s="3" t="inlineStr">
        <is>
          <t>강점 위주로 · 더 짧게 · 역량 항목별로</t>
        </is>
      </c>
      <c r="Q65" s="3" t="inlineStr">
        <is>
          <t>다면진단을 제출했어요</t>
        </is>
      </c>
      <c r="R65" s="3" t="inlineStr">
        <is>
          <t>배정된 5명의 다면진단이 모두 제출 기록에 남습니다.</t>
        </is>
      </c>
    </row>
    <row r="66" ht="78" customHeight="1">
      <c r="A66" s="14" t="n">
        <v>64</v>
      </c>
      <c r="B66" s="3" t="inlineStr">
        <is>
          <t>피드백-구성원-02</t>
        </is>
      </c>
      <c r="C66" s="14" t="inlineStr">
        <is>
          <t>피드백</t>
        </is>
      </c>
      <c r="D66" s="3" t="inlineStr">
        <is>
          <t>구성원</t>
        </is>
      </c>
      <c r="E66" s="14" t="inlineStr">
        <is>
          <t>T4 연결 불일치</t>
        </is>
      </c>
      <c r="F66" s="14" t="inlineStr">
        <is>
          <t>◎ blue</t>
        </is>
      </c>
      <c r="G66" s="3" t="inlineStr">
        <is>
          <t>가중치 1위 역량이 2.6점에 머물러 있어요</t>
        </is>
      </c>
      <c r="H66" s="3" t="inlineStr">
        <is>
          <t>다른 역량 평균 3.8점보다 눈에 띄게 낮아요</t>
        </is>
      </c>
      <c r="I66" s="3" t="inlineStr">
        <is>
          <t>다면진단 역량 &lt;b&gt;D2 평균 2.6점&lt;/b&gt;으로 나왔어요</t>
        </is>
      </c>
      <c r="J66" s="3" t="inlineStr">
        <is>
          <t>내 역량 5개의 평균은 &lt;b&gt;3.8점&lt;/b&gt;으로 나왔어요</t>
        </is>
      </c>
      <c r="K66" s="3" t="inlineStr">
        <is>
          <t>D2는 &lt;b&gt;직무 프로파일 가중치 1위&lt;/b&gt; 역량이에요</t>
        </is>
      </c>
      <c r="L66" s="3" t="inlineStr">
        <is>
          <t>행동 · 역량 개발 메모 초안 (수정할 수 있어요)</t>
        </is>
      </c>
      <c r="M66" s="3" t="inlineStr">
        <is>
          <t>다면진단에서 가중치 1위 역량인 D2가 2.6점으로, 제 역량 5개 평균 3.8점보다 낮게 나왔습니다. 동료 리뷰의 개발 의견과 직무 프로파일의 요구 스킬을 함께 보고, D2에 걸린 핵심결과를 다음 기간 목표 후보로 올려 개발 항목으로 삼겠습니다.</t>
        </is>
      </c>
      <c r="N66" s="14" t="inlineStr">
        <is>
          <t>다음 목표 후보로 저장</t>
        </is>
      </c>
      <c r="O66" s="3" t="inlineStr">
        <is>
          <t>낮게 나온 역량을 다음 기간 목표 후보로 옮겨봤어요. 표현을 다듬어볼까요?</t>
        </is>
      </c>
      <c r="P66" s="3" t="inlineStr">
        <is>
          <t>실행 방법 구체화 · 강점도 함께 · 개발 의견 보기</t>
        </is>
      </c>
      <c r="Q66" s="3" t="inlineStr">
        <is>
          <t>개발 메모를 저장했어요</t>
        </is>
      </c>
      <c r="R66" s="3" t="inlineStr">
        <is>
          <t>다음 기간 목표 후보 목록에 함께 등록됩니다.</t>
        </is>
      </c>
    </row>
    <row r="67" ht="78" customHeight="1">
      <c r="A67" s="14" t="n">
        <v>65</v>
      </c>
      <c r="B67" s="3" t="inlineStr">
        <is>
          <t>피드백-구성원-03</t>
        </is>
      </c>
      <c r="C67" s="14" t="inlineStr">
        <is>
          <t>피드백</t>
        </is>
      </c>
      <c r="D67" s="3" t="inlineStr">
        <is>
          <t>구성원</t>
        </is>
      </c>
      <c r="E67" s="14" t="inlineStr">
        <is>
          <t>T5 상황 변동</t>
        </is>
      </c>
      <c r="F67" s="14" t="inlineStr">
        <is>
          <t>◆ green</t>
        </is>
      </c>
      <c r="G67" s="3" t="inlineStr">
        <is>
          <t>함께 걸린 목표의 동료 피드백이 도착했어요</t>
        </is>
      </c>
      <c r="H67" s="3" t="inlineStr">
        <is>
          <t>보낸 동료가 목표 G-0142에 함께 걸려 있어요</t>
        </is>
      </c>
      <c r="I67" s="3" t="inlineStr">
        <is>
          <t>&lt;b&gt;2026-07-25&lt;/b&gt;에 피드백 1건이 도착했어요</t>
        </is>
      </c>
      <c r="J67" s="3" t="inlineStr">
        <is>
          <t>보낸 분은 목표 &lt;b&gt;G-0142&lt;/b&gt;에 함께 걸린 동료예요</t>
        </is>
      </c>
      <c r="K67" s="3" t="inlineStr">
        <is>
          <t>지난번 이 동료와 주고받은 내용도 함께 모았어요</t>
        </is>
      </c>
      <c r="L67" s="3" t="inlineStr">
        <is>
          <t>행동 · 답신 초안 (수정할 수 있어요)</t>
        </is>
      </c>
      <c r="M67" s="3" t="inlineStr">
        <is>
          <t>보내주신 피드백 잘 받았습니다. 함께 걸려 있는 목표 G-0142의 진척과 이어지는 내용이라 특히 도움이 됐습니다. 말씀 주신 부분은 다음 점검 때 반영해 다시 공유드리겠습니다. 감사합니다.</t>
        </is>
      </c>
      <c r="N67" s="14" t="inlineStr">
        <is>
          <t>답신 보내기</t>
        </is>
      </c>
      <c r="O67" s="3" t="inlineStr">
        <is>
          <t>받은 피드백에 맞춘 답신 초안을 준비했어요. 톤을 조정해드릴까요?</t>
        </is>
      </c>
      <c r="P67" s="3" t="inlineStr">
        <is>
          <t>더 짧게 · 더 정중하게 · 피드백 원문 보기</t>
        </is>
      </c>
      <c r="Q67" s="3" t="inlineStr">
        <is>
          <t>답신을 보냈어요</t>
        </is>
      </c>
      <c r="R67" s="3" t="inlineStr">
        <is>
          <t>보냄·받음·열람 기록이 함께 남습니다.</t>
        </is>
      </c>
    </row>
    <row r="68" ht="78" customHeight="1">
      <c r="A68" s="14" t="n">
        <v>66</v>
      </c>
      <c r="B68" s="3" t="inlineStr">
        <is>
          <t>피드백-팀장-01</t>
        </is>
      </c>
      <c r="C68" s="14" t="inlineStr">
        <is>
          <t>피드백</t>
        </is>
      </c>
      <c r="D68" s="3" t="inlineStr">
        <is>
          <t>팀장(1차 평가자)</t>
        </is>
      </c>
      <c r="E68" s="14" t="inlineStr">
        <is>
          <t>T1 기한 도래</t>
        </is>
      </c>
      <c r="F68" s="14" t="inlineStr">
        <is>
          <t>◈ amber</t>
        </is>
      </c>
      <c r="G68" s="3" t="inlineStr">
        <is>
          <t>B님과의 결과 면담이 아직 안 잡혔어요</t>
        </is>
      </c>
      <c r="H68" s="3" t="inlineStr">
        <is>
          <t>직속 팀원 5명 중 3명은 이미 면담을 마쳤어요</t>
        </is>
      </c>
      <c r="I68" s="3" t="inlineStr">
        <is>
          <t>&lt;b&gt;B님&lt;/b&gt;과의 결과 면담 기록이 0건이에요</t>
        </is>
      </c>
      <c r="J68" s="3" t="inlineStr">
        <is>
          <t>직속 팀원 &lt;b&gt;5명 중 3명&lt;/b&gt;은 면담을 마쳤어요</t>
        </is>
      </c>
      <c r="K68" s="3" t="inlineStr">
        <is>
          <t>면담 기간이 열린 지 &lt;b&gt;7일&lt;/b&gt;이 지났어요</t>
        </is>
      </c>
      <c r="L68" s="3" t="inlineStr">
        <is>
          <t>행동 · 결과 면담 아젠다 초안 (수정할 수 있어요)</t>
        </is>
      </c>
      <c r="M68" s="3" t="inlineStr">
        <is>
          <t>1) 확정 등급과 3요소 정규화점수를 근거 요약문과 함께 설명합니다
2) 이번 기간 점검 기록에서 잘한 점 2가지를 짚습니다
3) 다음 기간 후보 과업을 함께 정하고 지원할 부분을 확인합니다</t>
        </is>
      </c>
      <c r="N68" s="14" t="inlineStr">
        <is>
          <t>이 아젠다로 면담 잡기</t>
        </is>
      </c>
      <c r="O68" s="3" t="inlineStr">
        <is>
          <t>B님 결과 면담 아젠다를 만들어봤어요. 항목이나 순서를 조정해드릴까요?</t>
        </is>
      </c>
      <c r="P68" s="3" t="inlineStr">
        <is>
          <t>더 부드러운 톤으로 · 등급 설명 먼저 · B님 강점 추가</t>
        </is>
      </c>
      <c r="Q68" s="3" t="inlineStr">
        <is>
          <t>결과 면담이 예약됐어요</t>
        </is>
      </c>
      <c r="R68" s="3" t="inlineStr">
        <is>
          <t>아젠다가 면담 기록으로 함께 저장됩니다.</t>
        </is>
      </c>
    </row>
    <row r="69" ht="78" customHeight="1">
      <c r="A69" s="14" t="n">
        <v>67</v>
      </c>
      <c r="B69" s="3" t="inlineStr">
        <is>
          <t>피드백-팀장-02</t>
        </is>
      </c>
      <c r="C69" s="14" t="inlineStr">
        <is>
          <t>피드백</t>
        </is>
      </c>
      <c r="D69" s="3" t="inlineStr">
        <is>
          <t>팀장(1차 평가자)</t>
        </is>
      </c>
      <c r="E69" s="14" t="inlineStr">
        <is>
          <t>T2 작성 공백</t>
        </is>
      </c>
      <c r="F69" s="14" t="inlineStr">
        <is>
          <t>◇ coral</t>
        </is>
      </c>
      <c r="G69" s="3" t="inlineStr">
        <is>
          <t>써 둔 피드백이 닷새째 안 갔어요</t>
        </is>
      </c>
      <c r="H69" s="3" t="inlineStr">
        <is>
          <t>제도 기준 전달 기한은 등급 확정 후 사흘이에요</t>
        </is>
      </c>
      <c r="I69" s="3" t="inlineStr">
        <is>
          <t>&lt;b&gt;B님&lt;/b&gt; 피드백 초안이 저장된 지 5일 됐어요</t>
        </is>
      </c>
      <c r="J69" s="3" t="inlineStr">
        <is>
          <t>제도 기준은 등급 확정 후 &lt;b&gt;3일 안 전달&lt;/b&gt;이에요</t>
        </is>
      </c>
      <c r="K69" s="3" t="inlineStr">
        <is>
          <t>아직 보냄·받음 기록이 남아 있지 않아요</t>
        </is>
      </c>
      <c r="L69" s="3" t="inlineStr">
        <is>
          <t>행동 · 피드백 전달문 초안 (수정할 수 있어요)</t>
        </is>
      </c>
      <c r="M69" s="3" t="inlineStr">
        <is>
          <t>이번 기간 평가 결과와 근거를 정리해 전달드립니다. 확정 등급과 근거 요약문을 함께 담았고, 동료 리뷰에서 나온 개발 의견도 덧붙였습니다. 내용을 확인하신 뒤 궁금한 점은 결과 면담에서 이어서 이야기하면 좋겠습니다.</t>
        </is>
      </c>
      <c r="N69" s="14" t="inlineStr">
        <is>
          <t>피드백 보내기</t>
        </is>
      </c>
      <c r="O69" s="3" t="inlineStr">
        <is>
          <t>저장해 두신 초안을 전달문으로 다듬었어요. 톤을 조정해드릴까요?</t>
        </is>
      </c>
      <c r="P69" s="3" t="inlineStr">
        <is>
          <t>더 짧게 · 개발 의견 강조 · 면담 일정 안내 추가</t>
        </is>
      </c>
      <c r="Q69" s="3" t="inlineStr">
        <is>
          <t>피드백을 보냈어요</t>
        </is>
      </c>
      <c r="R69" s="3" t="inlineStr">
        <is>
          <t>전달 기록과 열람 여부가 함께 남습니다.</t>
        </is>
      </c>
    </row>
    <row r="70" ht="78" customHeight="1">
      <c r="A70" s="14" t="n">
        <v>68</v>
      </c>
      <c r="B70" s="3" t="inlineStr">
        <is>
          <t>피드백-팀장-03</t>
        </is>
      </c>
      <c r="C70" s="14" t="inlineStr">
        <is>
          <t>피드백</t>
        </is>
      </c>
      <c r="D70" s="3" t="inlineStr">
        <is>
          <t>팀장(1차 평가자)</t>
        </is>
      </c>
      <c r="E70" s="14" t="inlineStr">
        <is>
          <t>T5 상황 변동</t>
        </is>
      </c>
      <c r="F70" s="14" t="inlineStr">
        <is>
          <t>◆ green</t>
        </is>
      </c>
      <c r="G70" s="3" t="inlineStr">
        <is>
          <t>동료 리뷰 2건이 같은 역량을 짚었어요</t>
        </is>
      </c>
      <c r="H70" s="3" t="inlineStr">
        <is>
          <t>새로 온 3건 중 2건이 D3를 개발 항목으로 적었어요</t>
        </is>
      </c>
      <c r="I70" s="3" t="inlineStr">
        <is>
          <t>&lt;b&gt;B님&lt;/b&gt; 동료 리뷰 3건이 새로 도착했어요 (7월 26일)</t>
        </is>
      </c>
      <c r="J70" s="3" t="inlineStr">
        <is>
          <t>그중 &lt;b&gt;2건&lt;/b&gt;이 역량 &lt;b&gt;D3&lt;/b&gt;를 개발 항목으로 적었어요</t>
        </is>
      </c>
      <c r="K70" s="3" t="inlineStr">
        <is>
          <t>직무 프로파일의 역량 가중치와 함께 살펴봤어요</t>
        </is>
      </c>
      <c r="L70" s="3" t="inlineStr">
        <is>
          <t>행동 · 피드백 수정 초안 (수정할 수 있어요)</t>
        </is>
      </c>
      <c r="M70" s="3" t="inlineStr">
        <is>
          <t>기존 피드백 초안의 개발 의견 문단을 바꿨습니다. 새로 도착한 동료 리뷰 3건 중 2건이 역량 D3를 개발 항목으로 짚은 점을 반영해, D3를 다음 기간 우선 개발 역량으로 적고 직무 프로파일의 가중치를 근거로 덧붙였습니다. 작성자가 드러나지 않도록 내용만 요약했습니다.</t>
        </is>
      </c>
      <c r="N70" s="14" t="inlineStr">
        <is>
          <t>수정본 반영</t>
        </is>
      </c>
      <c r="O70" s="3" t="inlineStr">
        <is>
          <t>동료 리뷰에서 겹친 역량을 초안에 넣어봤어요. 표현을 다듬어드릴까요?</t>
        </is>
      </c>
      <c r="P70" s="3" t="inlineStr">
        <is>
          <t>강점도 함께 · 더 짧게 · 역량 정의 보기</t>
        </is>
      </c>
      <c r="Q70" s="3" t="inlineStr">
        <is>
          <t>초안을 수정했어요</t>
        </is>
      </c>
      <c r="R70" s="3" t="inlineStr">
        <is>
          <t>수정 이력이 피드백 초안에 함께 남습니다.</t>
        </is>
      </c>
    </row>
    <row r="71" ht="78" customHeight="1">
      <c r="A71" s="14" t="n">
        <v>69</v>
      </c>
      <c r="B71" s="3" t="inlineStr">
        <is>
          <t>피드백-상위조직장-01</t>
        </is>
      </c>
      <c r="C71" s="14" t="inlineStr">
        <is>
          <t>피드백</t>
        </is>
      </c>
      <c r="D71" s="3" t="inlineStr">
        <is>
          <t>상위 조직장(2차 평가자)</t>
        </is>
      </c>
      <c r="E71" s="14" t="inlineStr">
        <is>
          <t>T1 기한 도래</t>
        </is>
      </c>
      <c r="F71" s="14" t="inlineStr">
        <is>
          <t>◈ amber</t>
        </is>
      </c>
      <c r="G71" s="3" t="inlineStr">
        <is>
          <t>하위 2개 팀 결과 면담이 0건이에요</t>
        </is>
      </c>
      <c r="H71" s="3" t="inlineStr">
        <is>
          <t>내 조직 평균은 63%인데 두 팀만 비어 있어요</t>
        </is>
      </c>
      <c r="I71" s="3" t="inlineStr">
        <is>
          <t>&lt;b&gt;하위 2개 팀&lt;/b&gt;의 결과 면담 기록이 0건이에요</t>
        </is>
      </c>
      <c r="J71" s="3" t="inlineStr">
        <is>
          <t>내 조직 평균 면담 실시율은 &lt;b&gt;63%&lt;/b&gt;예요</t>
        </is>
      </c>
      <c r="K71" s="3" t="inlineStr">
        <is>
          <t>면담 기간이 열린 지 &lt;b&gt;10일&lt;/b&gt;이 지났어요</t>
        </is>
      </c>
      <c r="L71" s="3" t="inlineStr">
        <is>
          <t>행동 · 안내 문구 초안 (수정할 수 있어요)</t>
        </is>
      </c>
      <c r="M71" s="3" t="inlineStr">
        <is>
          <t>결과 면담 기간이 열린 지 10일이 지났습니다. 조직 평균 실시율은 63%인데, 두 팀은 아직 면담 기록이 없습니다. 마감 전에 대상자별 면담 일정을 잡아 주시기 바랍니다. 아젠다 초안이 필요하시면 Agent가 함께 준비해 드리겠습니다.</t>
        </is>
      </c>
      <c r="N71" s="14" t="inlineStr">
        <is>
          <t>안내 보내기</t>
        </is>
      </c>
      <c r="O71" s="3" t="inlineStr">
        <is>
          <t>면담이 안 시작된 두 팀에 보낼 안내를 만들어봤어요. 톤을 조정할까요?</t>
        </is>
      </c>
      <c r="P71" s="3" t="inlineStr">
        <is>
          <t>더 지원적인 톤 · 마감일 강조 · 팀별 맞춤 안내</t>
        </is>
      </c>
      <c r="Q71" s="3" t="inlineStr">
        <is>
          <t>안내를 보냈어요</t>
        </is>
      </c>
      <c r="R71" s="3" t="inlineStr">
        <is>
          <t>두 팀 1차 평가자에게 개별 전달됩니다.</t>
        </is>
      </c>
    </row>
    <row r="72" ht="78" customHeight="1">
      <c r="A72" s="14" t="n">
        <v>70</v>
      </c>
      <c r="B72" s="3" t="inlineStr">
        <is>
          <t>피드백-상위조직장-02</t>
        </is>
      </c>
      <c r="C72" s="14" t="inlineStr">
        <is>
          <t>피드백</t>
        </is>
      </c>
      <c r="D72" s="3" t="inlineStr">
        <is>
          <t>상위 조직장(2차 평가자)</t>
        </is>
      </c>
      <c r="E72" s="14" t="inlineStr">
        <is>
          <t>T2 작성 공백</t>
        </is>
      </c>
      <c r="F72" s="14" t="inlineStr">
        <is>
          <t>◇ coral</t>
        </is>
      </c>
      <c r="G72" s="3" t="inlineStr">
        <is>
          <t>두 팀 결과 면담이 17명 중 2명뿐이에요</t>
        </is>
      </c>
      <c r="H72" s="3" t="inlineStr">
        <is>
          <t>등급이 확정된 지 21일이 지난 상태예요</t>
        </is>
      </c>
      <c r="I72" s="3" t="inlineStr">
        <is>
          <t>2개 팀 대상자 &lt;b&gt;17명 중 2명&lt;/b&gt;만 면담을 마쳤어요</t>
        </is>
      </c>
      <c r="J72" s="3" t="inlineStr">
        <is>
          <t>내 조직은 보통 등급 확정 &lt;b&gt;8일 안&lt;/b&gt;에 실시해요</t>
        </is>
      </c>
      <c r="K72" s="3" t="inlineStr">
        <is>
          <t>등급이 확정된 뒤 &lt;b&gt;21일&lt;/b&gt;이 지난 상태예요</t>
        </is>
      </c>
      <c r="L72" s="3" t="inlineStr">
        <is>
          <t>행동 · 면담 실시 요청 초안 (수정할 수 있어요)</t>
        </is>
      </c>
      <c r="M72" s="3" t="inlineStr">
        <is>
          <t>등급 확정 후 21일이 지났는데 두 팀의 결과 면담은 대상자 17명 중 2명에 그쳐 있습니다. 조직 평균 실시 시점인 8일을 크게 넘긴 상태라, 남은 대상자의 결과 면담을 정해진 기한 안에 마쳐 주실 것을 요청드립니다. 일정과 아젠다는 Agent가 함께 준비해 드리겠습니다.</t>
        </is>
      </c>
      <c r="N72" s="14" t="inlineStr">
        <is>
          <t>면담 실시 요청</t>
        </is>
      </c>
      <c r="O72" s="3" t="inlineStr">
        <is>
          <t>두 팀에 보낼 면담 실시 요청을 정리했어요. 표현을 다듬어드릴까요?</t>
        </is>
      </c>
      <c r="P72" s="3" t="inlineStr">
        <is>
          <t>더 정중하게 · 기한 명시 · 팀별로 나눠서</t>
        </is>
      </c>
      <c r="Q72" s="3" t="inlineStr">
        <is>
          <t>면담 실시를 요청했어요</t>
        </is>
      </c>
      <c r="R72" s="3" t="inlineStr">
        <is>
          <t>요청 이력과 승인 흐름에 함께 기록됩니다.</t>
        </is>
      </c>
    </row>
    <row r="73" ht="78" customHeight="1">
      <c r="A73" s="14" t="n">
        <v>71</v>
      </c>
      <c r="B73" s="3" t="inlineStr">
        <is>
          <t>피드백-상위조직장-03</t>
        </is>
      </c>
      <c r="C73" s="14" t="inlineStr">
        <is>
          <t>피드백</t>
        </is>
      </c>
      <c r="D73" s="3" t="inlineStr">
        <is>
          <t>상위 조직장(2차 평가자)</t>
        </is>
      </c>
      <c r="E73" s="14" t="inlineStr">
        <is>
          <t>T4 연결 불일치</t>
        </is>
      </c>
      <c r="F73" s="14" t="inlineStr">
        <is>
          <t>◎ blue</t>
        </is>
      </c>
      <c r="G73" s="3" t="inlineStr">
        <is>
          <t>C등급 3건에 육성 의견이 비어 있어요</t>
        </is>
      </c>
      <c r="H73" s="3" t="inlineStr">
        <is>
          <t>제도 기준상 최저 등급은 육성 의견이 필수예요</t>
        </is>
      </c>
      <c r="I73" s="3" t="inlineStr">
        <is>
          <t>&lt;b&gt;C등급 3건&lt;/b&gt; 모두 개발·육성 의견이 없어요</t>
        </is>
      </c>
      <c r="J73" s="3" t="inlineStr">
        <is>
          <t>제도 기준은 최저 등급에 &lt;b&gt;육성 의견 필수&lt;/b&gt;예요</t>
        </is>
      </c>
      <c r="K73" s="3" t="inlineStr">
        <is>
          <t>역량 점수와 다면진단 개발 의견은 함께 모아뒀어요</t>
        </is>
      </c>
      <c r="L73" s="3" t="inlineStr">
        <is>
          <t>행동 · 육성 의견 보완 요청 초안 (수정할 수 있어요)</t>
        </is>
      </c>
      <c r="M73" s="3" t="inlineStr">
        <is>
          <t>최저 등급인 C등급 3건에 개발·육성 의견이 비어 있습니다. 제도 기준상 최저 등급은 육성 의견이 필수이므로 해당 3건의 보완을 요청드립니다. 대상자별 역량 점수와 다면진단 개발 의견을 함께 정리해 두었으니 작성하실 때 근거로 참고하시면 됩니다. 다면진단 내용은 작성자가 드러나지 않게 요약했습니다.</t>
        </is>
      </c>
      <c r="N73" s="14" t="inlineStr">
        <is>
          <t>보완 요청 보내기</t>
        </is>
      </c>
      <c r="O73" s="3" t="inlineStr">
        <is>
          <t>육성 의견이 빠진 3건의 보완 요청을 정리했어요. 근거를 더 붙여드릴까요?</t>
        </is>
      </c>
      <c r="P73" s="3" t="inlineStr">
        <is>
          <t>근거 자료 첨부 · 더 정중하게 · 대상 건 확인</t>
        </is>
      </c>
      <c r="Q73" s="3" t="inlineStr">
        <is>
          <t>보완을 요청했어요</t>
        </is>
      </c>
      <c r="R73" s="3" t="inlineStr">
        <is>
          <t>요청 이력과 이행 상태가 함께 관리됩니다.</t>
        </is>
      </c>
    </row>
    <row r="74" ht="28" customHeight="1">
      <c r="A74" s="16" t="n">
        <v>72</v>
      </c>
      <c r="B74" s="17" t="inlineStr">
        <is>
          <t>피드백-상위조직장-04</t>
        </is>
      </c>
      <c r="C74" s="16" t="inlineStr">
        <is>
          <t>피드백</t>
        </is>
      </c>
      <c r="D74" s="17" t="inlineStr">
        <is>
          <t>상위 조직장(2차 평가자)</t>
        </is>
      </c>
      <c r="E74" s="16" t="inlineStr">
        <is>
          <t>T5 상황 변동</t>
        </is>
      </c>
      <c r="F74" s="16" t="inlineStr">
        <is>
          <t>◆ green</t>
        </is>
      </c>
      <c r="G74" s="17" t="inlineStr">
        <is>
          <t>상향 피드백 2건이 도착했어요</t>
        </is>
      </c>
      <c r="H74" s="17" t="inlineStr">
        <is>
          <t>합계 2건이라 팀 단위로 볼 근거가 얇아요</t>
        </is>
      </c>
      <c r="I74" s="17" t="inlineStr">
        <is>
          <t>-</t>
        </is>
      </c>
      <c r="J74" s="17" t="inlineStr">
        <is>
          <t>-</t>
        </is>
      </c>
      <c r="K74" s="17" t="inlineStr">
        <is>
          <t>-</t>
        </is>
      </c>
      <c r="L74" s="17" t="inlineStr">
        <is>
          <t>-</t>
        </is>
      </c>
      <c r="M74" s="17" t="inlineStr">
        <is>
          <t>-</t>
        </is>
      </c>
      <c r="N74" s="16" t="inlineStr">
        <is>
          <t>-</t>
        </is>
      </c>
      <c r="O74" s="17" t="inlineStr">
        <is>
          <t>-</t>
        </is>
      </c>
      <c r="P74" s="17" t="inlineStr">
        <is>
          <t>-</t>
        </is>
      </c>
      <c r="Q74" s="17" t="inlineStr">
        <is>
          <t>-</t>
        </is>
      </c>
      <c r="R74" s="17" t="inlineStr">
        <is>
          <t>-</t>
        </is>
      </c>
    </row>
    <row r="75" ht="78" customHeight="1">
      <c r="A75" s="14" t="n">
        <v>73</v>
      </c>
      <c r="B75" s="3" t="inlineStr">
        <is>
          <t>피드백-HR경영진-01</t>
        </is>
      </c>
      <c r="C75" s="14" t="inlineStr">
        <is>
          <t>피드백</t>
        </is>
      </c>
      <c r="D75" s="3" t="inlineStr">
        <is>
          <t>HR·경영진</t>
        </is>
      </c>
      <c r="E75" s="14" t="inlineStr">
        <is>
          <t>T1 기한 도래</t>
        </is>
      </c>
      <c r="F75" s="14" t="inlineStr">
        <is>
          <t>◈ amber</t>
        </is>
      </c>
      <c r="G75" s="3" t="inlineStr">
        <is>
          <t>전사 결과 면담 완료율이 23%예요</t>
        </is>
      </c>
      <c r="H75" s="3" t="inlineStr">
        <is>
          <t>기한까지 닷새인데 제도 기준은 70%예요</t>
        </is>
      </c>
      <c r="I75" s="3" t="inlineStr">
        <is>
          <t>전사 결과 면담 완료율 &lt;b&gt;23%&lt;/b&gt; (제도 기준 70%)</t>
        </is>
      </c>
      <c r="J75" s="3" t="inlineStr">
        <is>
          <t>완료 0건 조직이 &lt;b&gt;38개 중 12개&lt;/b&gt;예요</t>
        </is>
      </c>
      <c r="K75" s="3" t="inlineStr">
        <is>
          <t>면담 기한까지 &lt;b&gt;5일&lt;/b&gt; 남았어요 (기준 7월 16일)</t>
        </is>
      </c>
      <c r="L75" s="3" t="inlineStr">
        <is>
          <t>행동 · 기한 안내 초안 (수정할 수 있어요)</t>
        </is>
      </c>
      <c r="M75" s="3" t="inlineStr">
        <is>
          <t>결과 면담 기한까지 5일 남았습니다. 전사 완료율은 23%로 제도 기준인 70%에 못 미치고, 38개 조직 가운데 12개는 아직 면담 기록이 없습니다. 기한 안에 대상자 면담을 마칠 수 있도록 각 조직에서 일정을 확인해 주시기 바랍니다.</t>
        </is>
      </c>
      <c r="N75" s="14" t="inlineStr">
        <is>
          <t>기한 안내 보내기</t>
        </is>
      </c>
      <c r="O75" s="3" t="inlineStr">
        <is>
          <t>면담이 밀린 조직 12곳에 보낼 기한 안내를 만들었어요. 톤을 조정할까요?</t>
        </is>
      </c>
      <c r="P75" s="3" t="inlineStr">
        <is>
          <t>조직별 맞춤으로 · 더 짧게 · 지난 사이클 비교</t>
        </is>
      </c>
      <c r="Q75" s="3" t="inlineStr">
        <is>
          <t>기한 안내를 보냈어요</t>
        </is>
      </c>
      <c r="R75" s="3" t="inlineStr">
        <is>
          <t>12개 조직에 발송 기록과 함께 전달됩니다.</t>
        </is>
      </c>
    </row>
    <row r="76" ht="78" customHeight="1">
      <c r="A76" s="14" t="n">
        <v>74</v>
      </c>
      <c r="B76" s="3" t="inlineStr">
        <is>
          <t>피드백-HR경영진-02</t>
        </is>
      </c>
      <c r="C76" s="14" t="inlineStr">
        <is>
          <t>피드백</t>
        </is>
      </c>
      <c r="D76" s="3" t="inlineStr">
        <is>
          <t>HR·경영진</t>
        </is>
      </c>
      <c r="E76" s="14" t="inlineStr">
        <is>
          <t>T2 작성 공백</t>
        </is>
      </c>
      <c r="F76" s="14" t="inlineStr">
        <is>
          <t>◇ coral</t>
        </is>
      </c>
      <c r="G76" s="3" t="inlineStr">
        <is>
          <t>4개 조직에서 60일간 피드백이 0건이에요</t>
        </is>
      </c>
      <c r="H76" s="3" t="inlineStr">
        <is>
          <t>전사 인당 1.4건인데 이 조직들만 비어 있어요</t>
        </is>
      </c>
      <c r="I76" s="3" t="inlineStr">
        <is>
          <t>&lt;b&gt;4개 조직&lt;/b&gt;에서 최근 60일 피드백이 0건이에요</t>
        </is>
      </c>
      <c r="J76" s="3" t="inlineStr">
        <is>
          <t>전사 인당 피드백은 &lt;b&gt;1.4건&lt;/b&gt;으로 집계돼요</t>
        </is>
      </c>
      <c r="K76" s="3" t="inlineStr">
        <is>
          <t>해당 4개 조직의 대상 인원은 &lt;b&gt;47명&lt;/b&gt;이에요</t>
        </is>
      </c>
      <c r="L76" s="3" t="inlineStr">
        <is>
          <t>행동 · 피드백 면담 실시 요청 초안 (수정할 수 있어요)</t>
        </is>
      </c>
      <c r="M76" s="3" t="inlineStr">
        <is>
          <t>최근 60일 동안 주고받은 피드백이 한 건도 없는 조직이 4곳, 대상 인원은 47명입니다. 전사 인당 1.4건과 견주면 차이가 큽니다. 해당 조직에서 피드백 면담을 실시하고 결과를 기록으로 남겨 주실 것을 요청드립니다. 제도 안내 문구도 함께 보내드리겠습니다.</t>
        </is>
      </c>
      <c r="N76" s="14" t="inlineStr">
        <is>
          <t>실시 요청 보내기</t>
        </is>
      </c>
      <c r="O76" s="3" t="inlineStr">
        <is>
          <t>피드백이 오가지 않은 4개 조직에 보낼 요청을 정리했어요. 다듬어볼까요?</t>
        </is>
      </c>
      <c r="P76" s="3" t="inlineStr">
        <is>
          <t>제도 안내 첨부 · 조직별로 나눠서 · 더 정중하게</t>
        </is>
      </c>
      <c r="Q76" s="3" t="inlineStr">
        <is>
          <t>실시를 요청했어요</t>
        </is>
      </c>
      <c r="R76" s="3" t="inlineStr">
        <is>
          <t>4개 조직의 이행 상태가 함께 관리됩니다.</t>
        </is>
      </c>
    </row>
    <row r="77" ht="78" customHeight="1">
      <c r="A77" s="14" t="n">
        <v>75</v>
      </c>
      <c r="B77" s="3" t="inlineStr">
        <is>
          <t>피드백-HR경영진-03</t>
        </is>
      </c>
      <c r="C77" s="14" t="inlineStr">
        <is>
          <t>피드백</t>
        </is>
      </c>
      <c r="D77" s="3" t="inlineStr">
        <is>
          <t>HR·경영진</t>
        </is>
      </c>
      <c r="E77" s="14" t="inlineStr">
        <is>
          <t>T3 기준 이탈</t>
        </is>
      </c>
      <c r="F77" s="14" t="inlineStr">
        <is>
          <t>◐ purple</t>
        </is>
      </c>
      <c r="G77" s="3" t="inlineStr">
        <is>
          <t>세 조직 다면진단 제출률이 34%예요</t>
        </is>
      </c>
      <c r="H77" s="3" t="inlineStr">
        <is>
          <t>제도 기준 80%, 전사 71%에 크게 못 미쳐요</t>
        </is>
      </c>
      <c r="I77" s="3" t="inlineStr">
        <is>
          <t>&lt;b&gt;3개 조직&lt;/b&gt; 다면진단 제출률이 34%예요</t>
        </is>
      </c>
      <c r="J77" s="3" t="inlineStr">
        <is>
          <t>제도 기준은 &lt;b&gt;80%&lt;/b&gt;, 전사는 &lt;b&gt;71%&lt;/b&gt;예요</t>
        </is>
      </c>
      <c r="K77" s="3" t="inlineStr">
        <is>
          <t>이 조직들의 미제출 인원은 &lt;b&gt;28명&lt;/b&gt;이에요</t>
        </is>
      </c>
      <c r="L77" s="3" t="inlineStr">
        <is>
          <t>행동 · 참여 독려 문구 초안 (수정할 수 있어요)</t>
        </is>
      </c>
      <c r="M77" s="3" t="inlineStr">
        <is>
          <t>다면진단 제출률이 제도 기준 80%에 못 미치는 조직이 3곳 있습니다. 세 조직 제출률은 34%이고 미제출 인원은 28명으로, 전사 71%와 차이가 큽니다. 기간 안에 제출이 마무리되도록 구성원 참여를 안내해 주시기 바랍니다. 응답은 익명으로 처리됩니다.</t>
        </is>
      </c>
      <c r="N77" s="14" t="inlineStr">
        <is>
          <t>독려 안내 보내기</t>
        </is>
      </c>
      <c r="O77" s="3" t="inlineStr">
        <is>
          <t>제출률이 낮은 3개 조직에 보낼 참여 독려를 만들었어요. 톤을 조정할까요?</t>
        </is>
      </c>
      <c r="P77" s="3" t="inlineStr">
        <is>
          <t>익명 안내 강조 · 마감일 명시 · 조직별 맞춤으로</t>
        </is>
      </c>
      <c r="Q77" s="3" t="inlineStr">
        <is>
          <t>참여 독려를 보냈어요</t>
        </is>
      </c>
      <c r="R77" s="3" t="inlineStr">
        <is>
          <t>3개 조직의 발송 기록과 제출률이 함께 갱신됩니다.</t>
        </is>
      </c>
    </row>
    <row r="78" ht="78" customHeight="1">
      <c r="A78" s="14" t="n">
        <v>76</v>
      </c>
      <c r="B78" s="3" t="inlineStr">
        <is>
          <t>피드백-HR경영진-04</t>
        </is>
      </c>
      <c r="C78" s="14" t="inlineStr">
        <is>
          <t>피드백</t>
        </is>
      </c>
      <c r="D78" s="3" t="inlineStr">
        <is>
          <t>HR·경영진</t>
        </is>
      </c>
      <c r="E78" s="14" t="inlineStr">
        <is>
          <t>T4 연결 불일치</t>
        </is>
      </c>
      <c r="F78" s="14" t="inlineStr">
        <is>
          <t>◎ blue</t>
        </is>
      </c>
      <c r="G78" s="3" t="inlineStr">
        <is>
          <t>하위 등급 14명 중 2명만 기록이 남았어요</t>
        </is>
      </c>
      <c r="H78" s="3" t="inlineStr">
        <is>
          <t>전사는 78%인데 두 조직만 크게 낮아요</t>
        </is>
      </c>
      <c r="I78" s="3" t="inlineStr">
        <is>
          <t>2개 조직 하위 등급 &lt;b&gt;14명 중 2명&lt;/b&gt;만 기록이 있어요</t>
        </is>
      </c>
      <c r="J78" s="3" t="inlineStr">
        <is>
          <t>전사 평균은 &lt;b&gt;78%&lt;/b&gt;가 기록을 남기고 있어요</t>
        </is>
      </c>
      <c r="K78" s="3" t="inlineStr">
        <is>
          <t>개발 코멘트와 면담 기록이 모두 비어 있어요</t>
        </is>
      </c>
      <c r="L78" s="3" t="inlineStr">
        <is>
          <t>행동 · 결과 설명 보완 요청 초안 (수정할 수 있어요)</t>
        </is>
      </c>
      <c r="M78" s="3" t="inlineStr">
        <is>
          <t>하위 등급 대상자 14명 가운데 개발 코멘트나 면담 기록이 남은 분은 2명입니다. 전사 78%와 견주면 낮은 수준입니다. 두 조직에 결과 설명 면담을 실시하고 개발 코멘트를 보완해 주실 것을 요청드립니다. 인용할 수 있는 점검 기록과 다면진단 요약을 함께 전달하며, 개인 이름은 담지 않고 조직 단위 건수로만 정리했습니다.</t>
        </is>
      </c>
      <c r="N78" s="14" t="inlineStr">
        <is>
          <t>설명 보완 요청</t>
        </is>
      </c>
      <c r="O78" s="3" t="inlineStr">
        <is>
          <t>결과 설명이 빠진 두 조직의 보완 요청을 정리했어요. 근거를 더 붙일까요?</t>
        </is>
      </c>
      <c r="P78" s="3" t="inlineStr">
        <is>
          <t>근거 기록 첨부 · 조직별로 나눠서 · 더 정중하게</t>
        </is>
      </c>
      <c r="Q78" s="3" t="inlineStr">
        <is>
          <t>설명 보완을 요청했어요</t>
        </is>
      </c>
      <c r="R78" s="3" t="inlineStr">
        <is>
          <t>두 조직의 요청 처리 상태가 함께 기록됩니다.</t>
        </is>
      </c>
    </row>
  </sheetData>
  <autoFilter ref="A2:R78"/>
  <mergeCells count="3">
    <mergeCell ref="I1:K1"/>
    <mergeCell ref="L1:R1"/>
    <mergeCell ref="A1:H1"/>
  </mergeCells>
  <conditionalFormatting sqref="A3:R78">
    <cfRule type="expression" priority="1" dxfId="0">
      <formula>$M3="-"</formula>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78"/>
  <sheetViews>
    <sheetView showGridLines="0" workbookViewId="0">
      <pane xSplit="5" ySplit="2" topLeftCell="F3" activePane="bottomRight" state="frozen"/>
      <selection pane="topRight"/>
      <selection pane="bottomLeft"/>
      <selection pane="bottomRight" activeCell="A1" sqref="A1"/>
    </sheetView>
  </sheetViews>
  <sheetFormatPr baseColWidth="8" defaultRowHeight="15"/>
  <cols>
    <col width="5" customWidth="1" min="1" max="1"/>
    <col width="17" customWidth="1" min="2" max="2"/>
    <col width="9" customWidth="1" min="3" max="3"/>
    <col width="16" customWidth="1" min="4" max="4"/>
    <col width="12" customWidth="1" min="5" max="5"/>
    <col width="48" customWidth="1" min="6" max="6"/>
    <col width="12" customWidth="1" min="7" max="7"/>
    <col width="40" customWidth="1" min="8" max="8"/>
    <col width="40" customWidth="1" min="9" max="9"/>
    <col width="10" customWidth="1" min="10" max="10"/>
    <col width="38" customWidth="1" min="11" max="11"/>
    <col width="6" customWidth="1" min="12" max="12"/>
    <col width="7" customWidth="1" min="13" max="13"/>
    <col width="6" customWidth="1" min="14" max="14"/>
    <col width="6" customWidth="1" min="15" max="15"/>
    <col width="9" customWidth="1" min="16" max="16"/>
    <col width="12" customWidth="1" min="17" max="17"/>
    <col width="18" customWidth="1" min="18" max="18"/>
    <col width="26" customWidth="1" min="19" max="19"/>
    <col width="54" customWidth="1" min="20" max="20"/>
  </cols>
  <sheetData>
    <row r="1" ht="20" customHeight="1">
      <c r="A1" s="19" t="inlineStr">
        <is>
          <t>무엇을 보고 알리나</t>
        </is>
      </c>
      <c r="J1" s="20" t="inlineStr">
        <is>
          <t>무엇이 남나</t>
        </is>
      </c>
      <c r="L1" s="21" t="inlineStr">
        <is>
          <t>채택과 알림 조절</t>
        </is>
      </c>
    </row>
    <row r="2" ht="30" customHeight="1">
      <c r="A2" s="12" t="inlineStr">
        <is>
          <t>No.</t>
        </is>
      </c>
      <c r="B2" s="12" t="inlineStr">
        <is>
          <t>신호 ID</t>
        </is>
      </c>
      <c r="C2" s="12" t="inlineStr">
        <is>
          <t>단계</t>
        </is>
      </c>
      <c r="D2" s="12" t="inlineStr">
        <is>
          <t>수신 대상</t>
        </is>
      </c>
      <c r="E2" s="12" t="inlineStr">
        <is>
          <t>신호 유형</t>
        </is>
      </c>
      <c r="F2" s="12" t="inlineStr">
        <is>
          <t>발생 조건</t>
        </is>
      </c>
      <c r="G2" s="12" t="inlineStr">
        <is>
          <t>비교 기준</t>
        </is>
      </c>
      <c r="H2" s="12" t="inlineStr">
        <is>
          <t>참조 데이터</t>
        </is>
      </c>
      <c r="I2" s="12" t="inlineStr">
        <is>
          <t>초안 근거</t>
        </is>
      </c>
      <c r="J2" s="5" t="inlineStr">
        <is>
          <t>행동 유형</t>
        </is>
      </c>
      <c r="K2" s="5" t="inlineStr">
        <is>
          <t>저장 위치</t>
        </is>
      </c>
      <c r="L2" s="2" t="inlineStr">
        <is>
          <t>도움도</t>
        </is>
      </c>
      <c r="M2" s="2" t="inlineStr">
        <is>
          <t>발생빈도</t>
        </is>
      </c>
      <c r="N2" s="2" t="inlineStr">
        <is>
          <t>고유성</t>
        </is>
      </c>
      <c r="O2" s="2" t="inlineStr">
        <is>
          <t>합계</t>
        </is>
      </c>
      <c r="P2" s="2" t="inlineStr">
        <is>
          <t>채택 구분</t>
        </is>
      </c>
      <c r="Q2" s="2" t="inlineStr">
        <is>
          <t>재알림 간격</t>
        </is>
      </c>
      <c r="R2" s="2" t="inlineStr">
        <is>
          <t>최소 건수</t>
        </is>
      </c>
      <c r="S2" s="2" t="inlineStr">
        <is>
          <t>카드 해제 시점</t>
        </is>
      </c>
      <c r="T2" s="2" t="inlineStr">
        <is>
          <t>확인 필요</t>
        </is>
      </c>
    </row>
    <row r="3" ht="74" customHeight="1">
      <c r="A3" s="14" t="n">
        <v>1</v>
      </c>
      <c r="B3" s="3" t="inlineStr">
        <is>
          <t>목표수립-구성원-01</t>
        </is>
      </c>
      <c r="C3" s="14" t="inlineStr">
        <is>
          <t>목표수립</t>
        </is>
      </c>
      <c r="D3" s="3" t="inlineStr">
        <is>
          <t>구성원</t>
        </is>
      </c>
      <c r="E3" s="14" t="inlineStr">
        <is>
          <t>T1 기한 도래</t>
        </is>
      </c>
      <c r="F3" s="3" t="inlineStr">
        <is>
          <t>목표 작성 마감일까지 3일 이하로 남았고, 내 이름으로 저장된 목표가 1건도 없을 때</t>
        </is>
      </c>
      <c r="G3" s="14" t="inlineStr">
        <is>
          <t>제도 기준값</t>
        </is>
      </c>
      <c r="H3" s="3" t="inlineStr">
        <is>
          <t>목표 기간 일정의 마감일; 내 이름으로 저장된 목표 건수; 오늘 날짜</t>
        </is>
      </c>
      <c r="I3" s="3" t="inlineStr">
        <is>
          <t>내 직무프로파일의 과업 영역과 과업 목록; 소속 조직의 상위 목표; 내 지난 기간 목표 문장</t>
        </is>
      </c>
      <c r="J3" s="14" t="inlineStr">
        <is>
          <t>A1 작성</t>
        </is>
      </c>
      <c r="K3" s="3" t="inlineStr">
        <is>
          <t>목표 기록 신규 생성 (핵심결과 포함)</t>
        </is>
      </c>
      <c r="L3" s="14" t="n">
        <v>3</v>
      </c>
      <c r="M3" s="14" t="n">
        <v>3</v>
      </c>
      <c r="N3" s="14" t="n">
        <v>1</v>
      </c>
      <c r="O3" s="14">
        <f>L3+M3+N3</f>
        <v/>
      </c>
      <c r="P3" s="14" t="inlineStr">
        <is>
          <t>범용</t>
        </is>
      </c>
      <c r="Q3" s="14" t="inlineStr">
        <is>
          <t>3일</t>
        </is>
      </c>
      <c r="R3" s="3" t="inlineStr">
        <is>
          <t>해당 없음</t>
        </is>
      </c>
      <c r="S3" s="3" t="inlineStr">
        <is>
          <t>목표를 1건이라도 저장하면 즉시</t>
        </is>
      </c>
      <c r="T3" s="3" t="inlineStr">
        <is>
          <t>평가·목표 기간 일정 마스터(개시일·마감일·리마인드 기준일)가 없어 현재는 목표의 기간 문자열(FY2026-2Q)에서 파생해야 함 — 일정 마스터 신설 확인 필요(T1 신호 전체의 전제)</t>
        </is>
      </c>
    </row>
    <row r="4" ht="74" customHeight="1">
      <c r="A4" s="14" t="n">
        <v>2</v>
      </c>
      <c r="B4" s="3" t="inlineStr">
        <is>
          <t>목표수립-구성원-02</t>
        </is>
      </c>
      <c r="C4" s="14" t="inlineStr">
        <is>
          <t>목표수립</t>
        </is>
      </c>
      <c r="D4" s="3" t="inlineStr">
        <is>
          <t>구성원</t>
        </is>
      </c>
      <c r="E4" s="14" t="inlineStr">
        <is>
          <t>T2 작성 공백</t>
        </is>
      </c>
      <c r="F4" s="3" t="inlineStr">
        <is>
          <t>목표를 저장한 지 7일이 지났는데 그 목표에 달린 핵심결과가 1건도 없을 때</t>
        </is>
      </c>
      <c r="G4" s="14" t="inlineStr">
        <is>
          <t>팀 평균</t>
        </is>
      </c>
      <c r="H4" s="3" t="inlineStr">
        <is>
          <t>목표별 핵심결과 건수; 목표 저장일; 목표 기간의 남은 일수; 같은 팀 목표의 핵심결과 건수</t>
        </is>
      </c>
      <c r="I4" s="3" t="inlineStr">
        <is>
          <t>내 목표 문장; 내 직무프로파일의 과업 영역과 과업 목록; 같은 직무 동료의 핵심결과 표현</t>
        </is>
      </c>
      <c r="J4" s="14" t="inlineStr">
        <is>
          <t>A1 작성</t>
        </is>
      </c>
      <c r="K4" s="3" t="inlineStr">
        <is>
          <t>핵심결과 기록 신규 생성 (목표에 연결)</t>
        </is>
      </c>
      <c r="L4" s="14" t="n">
        <v>3</v>
      </c>
      <c r="M4" s="14" t="n">
        <v>2</v>
      </c>
      <c r="N4" s="14" t="n">
        <v>2</v>
      </c>
      <c r="O4" s="14">
        <f>L4+M4+N4</f>
        <v/>
      </c>
      <c r="P4" s="14" t="inlineStr">
        <is>
          <t>고유</t>
        </is>
      </c>
      <c r="Q4" s="14" t="inlineStr">
        <is>
          <t>7일</t>
        </is>
      </c>
      <c r="R4" s="3" t="inlineStr">
        <is>
          <t>해당 없음</t>
        </is>
      </c>
      <c r="S4" s="3" t="inlineStr">
        <is>
          <t>핵심결과를 1건 저장하면 즉시</t>
        </is>
      </c>
      <c r="T4" s="3" t="inlineStr">
        <is>
          <t>목표의 저장일·최종 수정 일시(updated_at)가 어디에도 없어 '7일 경과' 확인 불가 — 확인 1순위. 핵심결과 146건·목표 40건은 실측 확인</t>
        </is>
      </c>
    </row>
    <row r="5" ht="74" customHeight="1">
      <c r="A5" s="14" t="n">
        <v>3</v>
      </c>
      <c r="B5" s="3" t="inlineStr">
        <is>
          <t>목표수립-구성원-03</t>
        </is>
      </c>
      <c r="C5" s="14" t="inlineStr">
        <is>
          <t>목표수립</t>
        </is>
      </c>
      <c r="D5" s="3" t="inlineStr">
        <is>
          <t>구성원</t>
        </is>
      </c>
      <c r="E5" s="14" t="inlineStr">
        <is>
          <t>T3 기준 이탈</t>
        </is>
      </c>
      <c r="F5" s="3" t="inlineStr">
        <is>
          <t>한 목표에 달린 핵심결과들의 가중치를 더한 값이 100%에서 5%포인트 이상 벗어났을 때</t>
        </is>
      </c>
      <c r="G5" s="14" t="inlineStr">
        <is>
          <t>제도 기준값</t>
        </is>
      </c>
      <c r="H5" s="3" t="inlineStr">
        <is>
          <t>핵심결과별 가중치; 목표별 핵심결과 목록; 가중치 합계 제도 기준값</t>
        </is>
      </c>
      <c r="I5" s="3" t="inlineStr">
        <is>
          <t>핵심결과별 가중치와 난이도(A~C); 핵심결과별 목표값; 내가 지난 기간에 쓴 가중치 배분</t>
        </is>
      </c>
      <c r="J5" s="14" t="inlineStr">
        <is>
          <t>A2 수정</t>
        </is>
      </c>
      <c r="K5" s="3" t="inlineStr">
        <is>
          <t>핵심결과 가중치 수정 + 수정 이력</t>
        </is>
      </c>
      <c r="L5" s="14" t="n">
        <v>2</v>
      </c>
      <c r="M5" s="14" t="n">
        <v>2</v>
      </c>
      <c r="N5" s="14" t="n">
        <v>2</v>
      </c>
      <c r="O5" s="14">
        <f>L5+M5+N5</f>
        <v/>
      </c>
      <c r="P5" s="14" t="inlineStr">
        <is>
          <t>고유</t>
        </is>
      </c>
      <c r="Q5" s="14" t="inlineStr">
        <is>
          <t>7일</t>
        </is>
      </c>
      <c r="R5" s="3" t="inlineStr">
        <is>
          <t>해당 없음</t>
        </is>
      </c>
      <c r="S5" s="3" t="inlineStr">
        <is>
          <t>가중치 합이 100%가 되면 즉시</t>
        </is>
      </c>
      <c r="T5" s="3" t="inlineStr">
        <is>
          <t>가중치 합 100% 규정이 제도로 정해져 있는지 확인 필요. 핵심결과 가중치 필드는 146건 실측 확인. 수정 이력 보관 위치는 없어 신설 확인 필요</t>
        </is>
      </c>
    </row>
    <row r="6" ht="74" customHeight="1">
      <c r="A6" s="14" t="n">
        <v>4</v>
      </c>
      <c r="B6" s="3" t="inlineStr">
        <is>
          <t>목표수립-구성원-04</t>
        </is>
      </c>
      <c r="C6" s="14" t="inlineStr">
        <is>
          <t>목표수립</t>
        </is>
      </c>
      <c r="D6" s="3" t="inlineStr">
        <is>
          <t>구성원</t>
        </is>
      </c>
      <c r="E6" s="14" t="inlineStr">
        <is>
          <t>T4 연결 불일치</t>
        </is>
      </c>
      <c r="F6" s="3" t="inlineStr">
        <is>
          <t>내 핵심결과 중 직무 과업에 연결되지 않은 것이 50%를 넘거나, 직무에서 가중치가 가장 높은 역량에 걸린 핵심결과가 1건도 없을 때</t>
        </is>
      </c>
      <c r="G6" s="14" t="inlineStr">
        <is>
          <t>제도 기준값</t>
        </is>
      </c>
      <c r="H6" s="3" t="inlineStr">
        <is>
          <t>핵심결과의 직무 과업 참조; 핵심결과의 역량 연결(D1~D5); 내 직무프로파일의 과업 체계와 역량별 가중치</t>
        </is>
      </c>
      <c r="I6" s="3" t="inlineStr">
        <is>
          <t>직무 미션과 과업 영역별 과업 목록; 가중치 높은 역량의 설명; 내 현재 핵심결과 문장; 같은 직무 동료의 핵심결과 표현</t>
        </is>
      </c>
      <c r="J6" s="14" t="inlineStr">
        <is>
          <t>A2 수정</t>
        </is>
      </c>
      <c r="K6" s="3" t="inlineStr">
        <is>
          <t>핵심결과 내용·직무 과업 연결 수정 + 수정 이력</t>
        </is>
      </c>
      <c r="L6" s="14" t="n">
        <v>3</v>
      </c>
      <c r="M6" s="14" t="n">
        <v>2</v>
      </c>
      <c r="N6" s="14" t="n">
        <v>3</v>
      </c>
      <c r="O6" s="14">
        <f>L6+M6+N6</f>
        <v/>
      </c>
      <c r="P6" s="14" t="inlineStr">
        <is>
          <t>고유</t>
        </is>
      </c>
      <c r="Q6" s="14" t="inlineStr">
        <is>
          <t>7일</t>
        </is>
      </c>
      <c r="R6" s="3" t="inlineStr">
        <is>
          <t>해당 없음</t>
        </is>
      </c>
      <c r="S6" s="3" t="inlineStr">
        <is>
          <t>핵심결과가 모두 과업에 연결되면 즉시</t>
        </is>
      </c>
      <c r="T6" s="3" t="inlineStr">
        <is>
          <t>핵심결과의 직무 과업 참조 100%·역량 연결 D1~D5·직무프로파일 98종의 역량 가중치는 실측 확인. 목표의 직무 참조는 80%여서 빠진 20%는 확인 보류. 상위 목표 미연계(목표 연결률 95%, 미연계 5%)를 같은 조건에 넣을지 확인 필요</t>
        </is>
      </c>
    </row>
    <row r="7" ht="74" customHeight="1">
      <c r="A7" s="14" t="n">
        <v>5</v>
      </c>
      <c r="B7" s="3" t="inlineStr">
        <is>
          <t>목표수립-구성원-05</t>
        </is>
      </c>
      <c r="C7" s="14" t="inlineStr">
        <is>
          <t>목표수립</t>
        </is>
      </c>
      <c r="D7" s="3" t="inlineStr">
        <is>
          <t>구성원</t>
        </is>
      </c>
      <c r="E7" s="14" t="inlineStr">
        <is>
          <t>T5 상황 변동</t>
        </is>
      </c>
      <c r="F7" s="3" t="inlineStr">
        <is>
          <t>발령 기록에서 직무가 바뀐 날 이후 30일 안에, 이전 직무의 과업을 참조한 목표가 1건 이상 남아 있을 때</t>
        </is>
      </c>
      <c r="G7" s="14" t="inlineStr">
        <is>
          <t>없음</t>
        </is>
      </c>
      <c r="H7" s="3" t="inlineStr">
        <is>
          <t>발령·직무이동 이력의 변경일과 이전·이후 직무; 진행 중 목표·핵심결과의 직무 과업 참조; 목표 기간의 남은 일수</t>
        </is>
      </c>
      <c r="I7" s="3" t="inlineStr">
        <is>
          <t>새 직무프로파일의 미션·과업 목록·요구 역량; 현재 목표와 핵심결과 문장; 새 소속 조직의 상위 목표</t>
        </is>
      </c>
      <c r="J7" s="14" t="inlineStr">
        <is>
          <t>A2 수정</t>
        </is>
      </c>
      <c r="K7" s="3" t="inlineStr">
        <is>
          <t>목표·핵심결과 수정 + 수정 이력 (직무 변경 사유 함께 기록)</t>
        </is>
      </c>
      <c r="L7" s="14" t="n">
        <v>3</v>
      </c>
      <c r="M7" s="14" t="n">
        <v>1</v>
      </c>
      <c r="N7" s="14" t="n">
        <v>3</v>
      </c>
      <c r="O7" s="14">
        <f>L7+M7+N7</f>
        <v/>
      </c>
      <c r="P7" s="14" t="inlineStr">
        <is>
          <t>고유</t>
        </is>
      </c>
      <c r="Q7" s="14" t="inlineStr">
        <is>
          <t>재알림 없음(1회)</t>
        </is>
      </c>
      <c r="R7" s="3" t="inlineStr">
        <is>
          <t>해당 없음</t>
        </is>
      </c>
      <c r="S7" s="3" t="inlineStr">
        <is>
          <t>목표를 저장하거나 '그대로 두기'로 표시하면 즉시</t>
        </is>
      </c>
      <c r="T7" s="3" t="inlineStr">
        <is>
          <t>발령·직무이동 이력 채움률 0.5%(221명 중 1명) — 휴넬/JaDE 발령 원천 연동이 이 신호의 전제(T5 간판). 같은 원인으로 팀장(1차 평가자)에게도 뜰 수 있어, 구성원이 먼저 보고 7일 안에 처리하지 않을 때만 상위로 올리도록 순서 지정 필요</t>
        </is>
      </c>
    </row>
    <row r="8" ht="74" customHeight="1">
      <c r="A8" s="14" t="n">
        <v>6</v>
      </c>
      <c r="B8" s="3" t="inlineStr">
        <is>
          <t>목표수립-팀장-01</t>
        </is>
      </c>
      <c r="C8" s="14" t="inlineStr">
        <is>
          <t>목표수립</t>
        </is>
      </c>
      <c r="D8" s="3" t="inlineStr">
        <is>
          <t>팀장(1차 평가자)</t>
        </is>
      </c>
      <c r="E8" s="14" t="inlineStr">
        <is>
          <t>T1 기한 도래</t>
        </is>
      </c>
      <c r="F8" s="3" t="inlineStr">
        <is>
          <t>목표수립 마감일까지 3일 이하로 남았고, 그 팀원이 등록한 목표가 0건일 때</t>
        </is>
      </c>
      <c r="G8" s="14" t="inlineStr">
        <is>
          <t>제도 기준값</t>
        </is>
      </c>
      <c r="H8" s="3" t="inlineStr">
        <is>
          <t>목표수립 기간의 마감일; 팀원별 등록 목표 건수; 상위자 사번으로 만든 직속 팀원 명단</t>
        </is>
      </c>
      <c r="I8" s="3" t="inlineStr">
        <is>
          <t>팀 목표와 핵심결과 문장; 그 팀원의 직무프로파일 과업 목록; 그 팀원이 지난 기간에 쓴 목표 문장</t>
        </is>
      </c>
      <c r="J8" s="14" t="inlineStr">
        <is>
          <t>A3 전달</t>
        </is>
      </c>
      <c r="K8" s="3" t="inlineStr">
        <is>
          <t>메시지 기록 + 보냄·받음 기록 생성 (알림·메시지 발송·열람 기록 저장 위치 신설 필요)</t>
        </is>
      </c>
      <c r="L8" s="14" t="n">
        <v>3</v>
      </c>
      <c r="M8" s="14" t="n">
        <v>3</v>
      </c>
      <c r="N8" s="14" t="n">
        <v>1</v>
      </c>
      <c r="O8" s="14">
        <f>L8+M8+N8</f>
        <v/>
      </c>
      <c r="P8" s="14" t="inlineStr">
        <is>
          <t>범용</t>
        </is>
      </c>
      <c r="Q8" s="14" t="inlineStr">
        <is>
          <t>3일</t>
        </is>
      </c>
      <c r="R8" s="3" t="inlineStr">
        <is>
          <t>해당 없음</t>
        </is>
      </c>
      <c r="S8" s="3" t="inlineStr">
        <is>
          <t>그 팀원이 목표를 1건 저장하면 즉시</t>
        </is>
      </c>
      <c r="T8" s="3" t="inlineStr">
        <is>
          <t>목표·평가 기간 일정 마스터가 없어 마감일을 목표의 기간 문자열에서 파생 중 — 일정 마스터 신설 확인 필요. 메시지 보냄·받음 기록도 서버 보존 신설 필요. 같은 원인 카드가 구성원에게 먼저 뜨므로 1차 카드는 마감 3일 전부터만 만든다</t>
        </is>
      </c>
    </row>
    <row r="9" ht="74" customHeight="1">
      <c r="A9" s="14" t="n">
        <v>7</v>
      </c>
      <c r="B9" s="3" t="inlineStr">
        <is>
          <t>목표수립-팀장-02</t>
        </is>
      </c>
      <c r="C9" s="14" t="inlineStr">
        <is>
          <t>목표수립</t>
        </is>
      </c>
      <c r="D9" s="3" t="inlineStr">
        <is>
          <t>팀장(1차 평가자)</t>
        </is>
      </c>
      <c r="E9" s="14" t="inlineStr">
        <is>
          <t>T2 작성 공백</t>
        </is>
      </c>
      <c r="F9" s="3" t="inlineStr">
        <is>
          <t>목표수립 기간이 시작된 뒤 7일이 지났는데, 그 팀원이 만든 목표에 핵심결과가 0건일 때</t>
        </is>
      </c>
      <c r="G9" s="14" t="inlineStr">
        <is>
          <t>팀 평균</t>
        </is>
      </c>
      <c r="H9" s="3" t="inlineStr">
        <is>
          <t>목표수립 기간의 개시일; 그 팀원 목표별 핵심결과 건수; 같은 팀 목표의 목표당 핵심결과 평균 건수</t>
        </is>
      </c>
      <c r="I9" s="3" t="inlineStr">
        <is>
          <t>그 팀원 목표 문장; 연결된 팀 목표의 핵심결과와 목표값; 그 팀원 직무프로파일의 과업체계와 요구스킬</t>
        </is>
      </c>
      <c r="J9" s="14" t="inlineStr">
        <is>
          <t>A3 전달</t>
        </is>
      </c>
      <c r="K9" s="3" t="inlineStr">
        <is>
          <t>메시지 기록 + 해당 목표에 남는 검토 코멘트 (목표별 검토 코멘트 저장 위치 신설 필요)</t>
        </is>
      </c>
      <c r="L9" s="14" t="n">
        <v>3</v>
      </c>
      <c r="M9" s="14" t="n">
        <v>2</v>
      </c>
      <c r="N9" s="14" t="n">
        <v>2</v>
      </c>
      <c r="O9" s="14">
        <f>L9+M9+N9</f>
        <v/>
      </c>
      <c r="P9" s="14" t="inlineStr">
        <is>
          <t>고유</t>
        </is>
      </c>
      <c r="Q9" s="14" t="inlineStr">
        <is>
          <t>7일</t>
        </is>
      </c>
      <c r="R9" s="3" t="inlineStr">
        <is>
          <t>해당 없음</t>
        </is>
      </c>
      <c r="S9" s="3" t="inlineStr">
        <is>
          <t>그 목표에 핵심결과가 1건 이상 저장되면 즉시</t>
        </is>
      </c>
      <c r="T9" s="3" t="inlineStr">
        <is>
          <t>핵심결과 건수는 실측 확인됨(146건). 목표 레코드에 최종 수정 일시가 없어 기간 개시일 기준으로만 확인 가능 — 일정 마스터와 수정 일시 확인 필요. 구성원에게 같은 원인 카드가 먼저 뜨며 7일 내 미처리일 때만 1차에 만든다</t>
        </is>
      </c>
    </row>
    <row r="10" ht="28" customHeight="1">
      <c r="A10" s="16" t="n">
        <v>8</v>
      </c>
      <c r="B10" s="17" t="inlineStr">
        <is>
          <t>목표수립-팀장-03</t>
        </is>
      </c>
      <c r="C10" s="16" t="inlineStr">
        <is>
          <t>목표수립</t>
        </is>
      </c>
      <c r="D10" s="17" t="inlineStr">
        <is>
          <t>팀장(1차 평가자)</t>
        </is>
      </c>
      <c r="E10" s="16" t="inlineStr">
        <is>
          <t>T3 기준 이탈</t>
        </is>
      </c>
      <c r="F10" s="17" t="inlineStr">
        <is>
          <t>-</t>
        </is>
      </c>
      <c r="G10" s="16" t="inlineStr">
        <is>
          <t>-</t>
        </is>
      </c>
      <c r="H10" s="17" t="inlineStr">
        <is>
          <t>-</t>
        </is>
      </c>
      <c r="I10" s="17" t="inlineStr">
        <is>
          <t>-</t>
        </is>
      </c>
      <c r="J10" s="16" t="inlineStr">
        <is>
          <t>-</t>
        </is>
      </c>
      <c r="K10" s="17" t="inlineStr">
        <is>
          <t>-</t>
        </is>
      </c>
      <c r="L10" s="16" t="n">
        <v>2</v>
      </c>
      <c r="M10" s="16" t="n">
        <v>1</v>
      </c>
      <c r="N10" s="16" t="n">
        <v>2</v>
      </c>
      <c r="O10" s="16">
        <f>L10+M10+N10</f>
        <v/>
      </c>
      <c r="P10" s="16" t="inlineStr">
        <is>
          <t>제외</t>
        </is>
      </c>
      <c r="Q10" s="16" t="inlineStr">
        <is>
          <t>-</t>
        </is>
      </c>
      <c r="R10" s="17" t="inlineStr">
        <is>
          <t>-</t>
        </is>
      </c>
      <c r="S10" s="17" t="inlineStr">
        <is>
          <t>-</t>
        </is>
      </c>
      <c r="T10" s="17" t="inlineStr">
        <is>
          <t>난이도(A~C)와 난이도 근거는 실측 있으나, 난이도가 낮게 몰린 것이 곧 고쳐야 할 상태라고 볼 기준이 제도에 없어 제외. 난이도 근거(98.6%)를 쓰는 판단 규칙이 정해지면 다시 검토</t>
        </is>
      </c>
    </row>
    <row r="11" ht="74" customHeight="1">
      <c r="A11" s="14" t="n">
        <v>9</v>
      </c>
      <c r="B11" s="3" t="inlineStr">
        <is>
          <t>목표수립-팀장-04</t>
        </is>
      </c>
      <c r="C11" s="14" t="inlineStr">
        <is>
          <t>목표수립</t>
        </is>
      </c>
      <c r="D11" s="3" t="inlineStr">
        <is>
          <t>팀장(1차 평가자)</t>
        </is>
      </c>
      <c r="E11" s="14" t="inlineStr">
        <is>
          <t>T4 연결 불일치</t>
        </is>
      </c>
      <c r="F11" s="3" t="inlineStr">
        <is>
          <t>그 팀원 목표 중 팀 목표에 연결되지 않았거나 다른 조직 목표에 연결된 것이 1건 이상일 때</t>
        </is>
      </c>
      <c r="G11" s="14" t="inlineStr">
        <is>
          <t>제도 기준값</t>
        </is>
      </c>
      <c r="H11" s="3" t="inlineStr">
        <is>
          <t>목표의 상위목표 연결; 목표 소유자의 소속조직; 우리 팀 목표 목록; 목표의 전략과제 연결</t>
        </is>
      </c>
      <c r="I11" s="3" t="inlineStr">
        <is>
          <t>그 팀원 목표와 핵심결과 문장; 연결 후보가 되는 우리 팀 목표 3건; 그 팀원 직무프로파일의 과업체계</t>
        </is>
      </c>
      <c r="J11" s="14" t="inlineStr">
        <is>
          <t>A2 수정</t>
        </is>
      </c>
      <c r="K11" s="3" t="inlineStr">
        <is>
          <t>해당 목표의 상위목표 연결 수정 + 수정 이력 기록 (목표 수정 이력 저장 위치 신설 필요)</t>
        </is>
      </c>
      <c r="L11" s="14" t="n">
        <v>3</v>
      </c>
      <c r="M11" s="14" t="n">
        <v>2</v>
      </c>
      <c r="N11" s="14" t="n">
        <v>3</v>
      </c>
      <c r="O11" s="14">
        <f>L11+M11+N11</f>
        <v/>
      </c>
      <c r="P11" s="14" t="inlineStr">
        <is>
          <t>고유</t>
        </is>
      </c>
      <c r="Q11" s="14" t="inlineStr">
        <is>
          <t>7일</t>
        </is>
      </c>
      <c r="R11" s="3" t="inlineStr">
        <is>
          <t>해당 없음</t>
        </is>
      </c>
      <c r="S11" s="3" t="inlineStr">
        <is>
          <t>상위목표 연결이 저장되면 즉시</t>
        </is>
      </c>
      <c r="T11" s="3" t="inlineStr">
        <is>
          <t>상위목표 연결 95%·전략과제 연결 100% 실측 확인됨. 팀장이 팀원 목표의 연결을 직접 고칠 권한이 있는지 확인 필요 — 권한이 없으면 A3 보내기로 바꾼다. 목표 수정 이력 저장 위치 없음</t>
        </is>
      </c>
    </row>
    <row r="12" ht="74" customHeight="1">
      <c r="A12" s="14" t="n">
        <v>10</v>
      </c>
      <c r="B12" s="3" t="inlineStr">
        <is>
          <t>목표수립-팀장-05</t>
        </is>
      </c>
      <c r="C12" s="14" t="inlineStr">
        <is>
          <t>목표수립</t>
        </is>
      </c>
      <c r="D12" s="3" t="inlineStr">
        <is>
          <t>팀장(1차 평가자)</t>
        </is>
      </c>
      <c r="E12" s="14" t="inlineStr">
        <is>
          <t>T5 상황 변동</t>
        </is>
      </c>
      <c r="F12" s="3" t="inlineStr">
        <is>
          <t>그 팀원의 소속조직이 바뀐 뒤 7일이 지났고, 이전 조직 목표에 연결된 목표가 1건 이상 남아 있을 때</t>
        </is>
      </c>
      <c r="G12" s="14" t="inlineStr">
        <is>
          <t>없음</t>
        </is>
      </c>
      <c r="H12" s="3" t="inlineStr">
        <is>
          <t>발령·소속조직 변경 이력과 변경일; 그 팀원 목표의 상위목표와 그 상위목표의 소속조직; 바뀐 직무프로파일</t>
        </is>
      </c>
      <c r="I12" s="3" t="inlineStr">
        <is>
          <t>새 직무프로파일의 과업체계와 요구스킬; 우리 팀 목표와 핵심결과; 남은 목표 기간; 이전 조직에서 쓴 목표 문장</t>
        </is>
      </c>
      <c r="J12" s="14" t="inlineStr">
        <is>
          <t>A4 면담</t>
        </is>
      </c>
      <c r="K12" s="3" t="inlineStr">
        <is>
          <t>일정 생성 + 이야기할 항목 기록(그대로 가져올 목표·새로 만들 목표·남은 기간에 맞춘 목표값) (1on1 기록 서버 보존 신설 필요)</t>
        </is>
      </c>
      <c r="L12" s="14" t="n">
        <v>3</v>
      </c>
      <c r="M12" s="14" t="n">
        <v>1</v>
      </c>
      <c r="N12" s="14" t="n">
        <v>3</v>
      </c>
      <c r="O12" s="14">
        <f>L12+M12+N12</f>
        <v/>
      </c>
      <c r="P12" s="14" t="inlineStr">
        <is>
          <t>고유</t>
        </is>
      </c>
      <c r="Q12" s="14" t="inlineStr">
        <is>
          <t>재알림 없음(1회)</t>
        </is>
      </c>
      <c r="R12" s="3" t="inlineStr">
        <is>
          <t>해당 없음</t>
        </is>
      </c>
      <c r="S12" s="3" t="inlineStr">
        <is>
          <t>목표 재설정 대화 일정이 저장되면 즉시</t>
        </is>
      </c>
      <c r="T12" s="3" t="inlineStr">
        <is>
          <t>발령·직무이동 이력 채움률 0.5%(221명 중 1명) — 휴넬·JaDE 발령 원천 연동이 이 신호의 전제. 1on1 기록은 브라우저 80건 롤링뿐이어서 서버 보존 신설 필요</t>
        </is>
      </c>
    </row>
    <row r="13" ht="74" customHeight="1">
      <c r="A13" s="14" t="n">
        <v>11</v>
      </c>
      <c r="B13" s="3" t="inlineStr">
        <is>
          <t>목표수립-상위조직장-01</t>
        </is>
      </c>
      <c r="C13" s="14" t="inlineStr">
        <is>
          <t>목표수립</t>
        </is>
      </c>
      <c r="D13" s="3" t="inlineStr">
        <is>
          <t>상위 조직장(2차 평가자)</t>
        </is>
      </c>
      <c r="E13" s="14" t="inlineStr">
        <is>
          <t>T1 기한 도래</t>
        </is>
      </c>
      <c r="F13" s="3" t="inlineStr">
        <is>
          <t>목표 수립 마감일이 3일 이내로 남았고, 하위 팀 중 목표 수립률이 30% 미만인 팀이 1개 이상일 때</t>
        </is>
      </c>
      <c r="G13" s="14" t="inlineStr">
        <is>
          <t>제도 기준값</t>
        </is>
      </c>
      <c r="H13" s="3" t="inlineStr">
        <is>
          <t>목표 수립 기간의 마감일; 하위 팀별 구성원 수; 하위 팀별 목표 생성 건수; 내 조직 전체 수립률</t>
        </is>
      </c>
      <c r="I13" s="3" t="inlineStr">
        <is>
          <t>팀별 수립률 표; 마감일까지 남은 일수; 지난 분기 같은 시점의 팀별 수립률; 메시지를 받을 1차 평가자 명단</t>
        </is>
      </c>
      <c r="J13" s="14" t="inlineStr">
        <is>
          <t>A3 전달</t>
        </is>
      </c>
      <c r="K13" s="3" t="inlineStr">
        <is>
          <t>메시지 기록 + 보냄·받음 기록 (알림 이력에 발송 결과 저장 — 서버 보존 신설 필요)</t>
        </is>
      </c>
      <c r="L13" s="14" t="n">
        <v>3</v>
      </c>
      <c r="M13" s="14" t="n">
        <v>3</v>
      </c>
      <c r="N13" s="14" t="n">
        <v>1</v>
      </c>
      <c r="O13" s="14">
        <f>L13+M13+N13</f>
        <v/>
      </c>
      <c r="P13" s="14" t="inlineStr">
        <is>
          <t>범용</t>
        </is>
      </c>
      <c r="Q13" s="14" t="inlineStr">
        <is>
          <t>3일</t>
        </is>
      </c>
      <c r="R13" s="3" t="inlineStr">
        <is>
          <t>3건 이상 또는 팀의 30% 이상</t>
        </is>
      </c>
      <c r="S13" s="3" t="inlineStr">
        <is>
          <t>해당 팀 수립률이 70% 이상이 되면 즉시</t>
        </is>
      </c>
      <c r="T13" s="3" t="inlineStr">
        <is>
          <t>목표 기간 일정 마스터(개시일·마감일)가 없어 현재는 목표의 기간 문자열에서 파생 — 신설 필요. 알림 조절: 같은 원인으로 각 1차 평가자에게 팀원별 미수립 알림이 먼저 뜬 뒤에만 이 팀 합계 카드를 만든다(1차 선행). 개별 팀원 미수립 건은 2차에 올리지 않는다</t>
        </is>
      </c>
    </row>
    <row r="14" ht="74" customHeight="1">
      <c r="A14" s="14" t="n">
        <v>12</v>
      </c>
      <c r="B14" s="3" t="inlineStr">
        <is>
          <t>목표수립-상위조직장-02</t>
        </is>
      </c>
      <c r="C14" s="14" t="inlineStr">
        <is>
          <t>목표수립</t>
        </is>
      </c>
      <c r="D14" s="3" t="inlineStr">
        <is>
          <t>상위 조직장(2차 평가자)</t>
        </is>
      </c>
      <c r="E14" s="14" t="inlineStr">
        <is>
          <t>T2 작성 공백</t>
        </is>
      </c>
      <c r="F14" s="3" t="inlineStr">
        <is>
          <t>한 팀의 팀원 목표 중 1차 평가자가 확정하지 않은 것이 14일 이상 남아 있고, 그 비율이 팀의 30%를 넘을 때</t>
        </is>
      </c>
      <c r="G14" s="14" t="inlineStr">
        <is>
          <t>팀 평균</t>
        </is>
      </c>
      <c r="H14" s="3" t="inlineStr">
        <is>
          <t>팀원 목표의 상태값; 목표 생성일; 1차 평가자의 목표 확정 기록과 확정 시각; 하위 팀별 평균 검토 대기 일수</t>
        </is>
      </c>
      <c r="I14" s="3" t="inlineStr">
        <is>
          <t>팀별 미검토 건수와 대기 일수; 해당 팀장의 지난 분기 검토 소요일; 검토가 밀린 목표 제목 묶음; 요청 문구에 넣을 사실 묶음</t>
        </is>
      </c>
      <c r="J14" s="14" t="inlineStr">
        <is>
          <t>A6 요청</t>
        </is>
      </c>
      <c r="K14" s="3" t="inlineStr">
        <is>
          <t>요청 기록 + 승인 흐름 (목표 검토 요청 이력 저장 위치 신설 필요)</t>
        </is>
      </c>
      <c r="L14" s="14" t="n">
        <v>3</v>
      </c>
      <c r="M14" s="14" t="n">
        <v>3</v>
      </c>
      <c r="N14" s="14" t="n">
        <v>2</v>
      </c>
      <c r="O14" s="14">
        <f>L14+M14+N14</f>
        <v/>
      </c>
      <c r="P14" s="14" t="inlineStr">
        <is>
          <t>고유</t>
        </is>
      </c>
      <c r="Q14" s="14" t="inlineStr">
        <is>
          <t>14일</t>
        </is>
      </c>
      <c r="R14" s="3" t="inlineStr">
        <is>
          <t>3건 이상 또는 팀의 30% 이상</t>
        </is>
      </c>
      <c r="S14" s="3" t="inlineStr">
        <is>
          <t>해당 팀의 미검토 비율이 30% 밑으로 내려가면 즉시</t>
        </is>
      </c>
      <c r="T14" s="3" t="inlineStr">
        <is>
          <t>목표 확정(승인) 기록과 시각이 현재 없음 — 신설 필요. 1차 평가자 매핑 필드 확인/신설 필요. 관측 대상은 팀원이 아니라 1차 평가자의 검토 행위. 알림 조절: 팀원 개인의 목표 미작성 건은 1차에게만 뜨고, 2차에는 평가자 단위 합계로만 올린다</t>
        </is>
      </c>
    </row>
    <row r="15" ht="74" customHeight="1">
      <c r="A15" s="14" t="n">
        <v>13</v>
      </c>
      <c r="B15" s="3" t="inlineStr">
        <is>
          <t>목표수립-상위조직장-03</t>
        </is>
      </c>
      <c r="C15" s="14" t="inlineStr">
        <is>
          <t>목표수립</t>
        </is>
      </c>
      <c r="D15" s="3" t="inlineStr">
        <is>
          <t>상위 조직장(2차 평가자)</t>
        </is>
      </c>
      <c r="E15" s="14" t="inlineStr">
        <is>
          <t>T3 기준 이탈</t>
        </is>
      </c>
      <c r="F15" s="3" t="inlineStr">
        <is>
          <t>한 팀의 핵심결과 중 가장 낮은 난이도의 비중이 70%를 넘고, 내 조직 평균보다 25%p 이상 높을 때</t>
        </is>
      </c>
      <c r="G15" s="14" t="inlineStr">
        <is>
          <t>팀 평균</t>
        </is>
      </c>
      <c r="H15" s="3" t="inlineStr">
        <is>
          <t>하위 팀별 핵심결과 난이도(A~C) 분포; 난이도 근거 문장; 내 조직 전체 난이도 분포; 팀별 핵심결과 건수</t>
        </is>
      </c>
      <c r="I15" s="3" t="inlineStr">
        <is>
          <t>팀별 난이도 분포 비교표; 난이도 근거 문장 요약; 해당 팀의 지난 분기 난이도 분포; 내 조직 목표의 도전 수준</t>
        </is>
      </c>
      <c r="J15" s="14" t="inlineStr">
        <is>
          <t>A4 면담</t>
        </is>
      </c>
      <c r="K15" s="3" t="inlineStr">
        <is>
          <t>일정 + 이야기할 항목 기록 (목표 검토 회의 기록 — 서버 보존 신설 필요)</t>
        </is>
      </c>
      <c r="L15" s="14" t="n">
        <v>2</v>
      </c>
      <c r="M15" s="14" t="n">
        <v>2</v>
      </c>
      <c r="N15" s="14" t="n">
        <v>3</v>
      </c>
      <c r="O15" s="14">
        <f>L15+M15+N15</f>
        <v/>
      </c>
      <c r="P15" s="14" t="inlineStr">
        <is>
          <t>고유</t>
        </is>
      </c>
      <c r="Q15" s="14" t="inlineStr">
        <is>
          <t>14일</t>
        </is>
      </c>
      <c r="R15" s="3" t="inlineStr">
        <is>
          <t>해당 팀 핵심결과 5건 이상일 때만 확인</t>
        </is>
      </c>
      <c r="S15" s="3" t="inlineStr">
        <is>
          <t>회의 기록이 남거나 난이도 조정 이력이 생기면 즉시</t>
        </is>
      </c>
      <c r="T15" s="3" t="inlineStr">
        <is>
          <t>난이도(A~C)와 난이도 근거는 실측 존재(146건 중 98.6%). 회의 기록이 브라우저 80건 롤링이라 서버 보존 신설 필요. 알림 조절: 핵심결과 1건의 난이도 문제는 소유자·1차에게만 뜨고, 2차에는 팀 분포로만 올린다</t>
        </is>
      </c>
    </row>
    <row r="16" ht="28" customHeight="1">
      <c r="A16" s="16" t="n">
        <v>14</v>
      </c>
      <c r="B16" s="17" t="inlineStr">
        <is>
          <t>목표수립-상위조직장-04</t>
        </is>
      </c>
      <c r="C16" s="16" t="inlineStr">
        <is>
          <t>목표수립</t>
        </is>
      </c>
      <c r="D16" s="17" t="inlineStr">
        <is>
          <t>상위 조직장(2차 평가자)</t>
        </is>
      </c>
      <c r="E16" s="16" t="inlineStr">
        <is>
          <t>T3 기준 이탈</t>
        </is>
      </c>
      <c r="F16" s="17" t="inlineStr">
        <is>
          <t>-</t>
        </is>
      </c>
      <c r="G16" s="16" t="inlineStr">
        <is>
          <t>없음</t>
        </is>
      </c>
      <c r="H16" s="17" t="inlineStr">
        <is>
          <t>-</t>
        </is>
      </c>
      <c r="I16" s="17" t="inlineStr">
        <is>
          <t>-</t>
        </is>
      </c>
      <c r="J16" s="16" t="inlineStr">
        <is>
          <t>-</t>
        </is>
      </c>
      <c r="K16" s="17" t="inlineStr">
        <is>
          <t>-</t>
        </is>
      </c>
      <c r="L16" s="16" t="n">
        <v>1</v>
      </c>
      <c r="M16" s="16" t="n">
        <v>2</v>
      </c>
      <c r="N16" s="16" t="n">
        <v>2</v>
      </c>
      <c r="O16" s="16">
        <f>L16+M16+N16</f>
        <v/>
      </c>
      <c r="P16" s="16" t="inlineStr">
        <is>
          <t>제외</t>
        </is>
      </c>
      <c r="Q16" s="16" t="inlineStr">
        <is>
          <t>-</t>
        </is>
      </c>
      <c r="R16" s="17" t="inlineStr">
        <is>
          <t>-</t>
        </is>
      </c>
      <c r="S16" s="17" t="inlineStr">
        <is>
          <t>-</t>
        </is>
      </c>
      <c r="T16" s="17" t="inlineStr">
        <is>
          <t>목표 개수 차이는 팀 규모·업무 성격 차이로 대부분 설명되어 기준선을 세울 수 없다. 2차가 할 행동이 들여다보기로 끝나 상위 전달 3조건 중 ③(상위 주체가 실제로 할 수 있는 일)을 충족하지 못해 제외. 난이도 쏠림(목표수립-상위조직장-03)으로 대체</t>
        </is>
      </c>
    </row>
    <row r="17" ht="74" customHeight="1">
      <c r="A17" s="14" t="n">
        <v>15</v>
      </c>
      <c r="B17" s="3" t="inlineStr">
        <is>
          <t>목표수립-상위조직장-05</t>
        </is>
      </c>
      <c r="C17" s="14" t="inlineStr">
        <is>
          <t>목표수립</t>
        </is>
      </c>
      <c r="D17" s="3" t="inlineStr">
        <is>
          <t>상위 조직장(2차 평가자)</t>
        </is>
      </c>
      <c r="E17" s="14" t="inlineStr">
        <is>
          <t>T4 연결 불일치</t>
        </is>
      </c>
      <c r="F17" s="3" t="inlineStr">
        <is>
          <t>하위 팀의 조직 목표 중 내 조직 목표에 연결되지 않은 것이 3건 이상이거나 하위 목표의 30% 이상일 때</t>
        </is>
      </c>
      <c r="G17" s="14" t="inlineStr">
        <is>
          <t>제도 기준값</t>
        </is>
      </c>
      <c r="H17" s="3" t="inlineStr">
        <is>
          <t>하위 팀 목표 목록; 목표의 상위목표 연결값; 내 조직 목표 목록; 전략과제 연결값; 목표의 소속 조직</t>
        </is>
      </c>
      <c r="I17" s="3" t="inlineStr">
        <is>
          <t>연결이 빠진 목표 제목과 소유 팀; 내 조직 목표·전략과제 목록; 연결 후보와 그 근거; 요청 문구에 넣을 사실 묶음</t>
        </is>
      </c>
      <c r="J17" s="14" t="inlineStr">
        <is>
          <t>A6 요청</t>
        </is>
      </c>
      <c r="K17" s="3" t="inlineStr">
        <is>
          <t>요청 기록 + 승인 흐름 (목표 정렬 요청 이력 저장 위치 신설 필요)</t>
        </is>
      </c>
      <c r="L17" s="14" t="n">
        <v>3</v>
      </c>
      <c r="M17" s="14" t="n">
        <v>2</v>
      </c>
      <c r="N17" s="14" t="n">
        <v>3</v>
      </c>
      <c r="O17" s="14">
        <f>L17+M17+N17</f>
        <v/>
      </c>
      <c r="P17" s="14" t="inlineStr">
        <is>
          <t>고유</t>
        </is>
      </c>
      <c r="Q17" s="14" t="inlineStr">
        <is>
          <t>14일</t>
        </is>
      </c>
      <c r="R17" s="3" t="inlineStr">
        <is>
          <t>3건 이상 또는 하위 목표의 30% 이상</t>
        </is>
      </c>
      <c r="S17" s="3" t="inlineStr">
        <is>
          <t>해당 목표에 상위 연결이 채워지면 즉시</t>
        </is>
      </c>
      <c r="T17" s="3" t="inlineStr">
        <is>
          <t>상위목표 연결 95% 실측 — 나머지 5%가 확인 대상. 알림 조절: 목표 1건의 연결 누락은 소유자와 1차가 먼저 볼 기회를 가진 뒤 3건 이상 모일 때만 2차 카드를 만든다</t>
        </is>
      </c>
    </row>
    <row r="18" ht="74" customHeight="1">
      <c r="A18" s="14" t="n">
        <v>16</v>
      </c>
      <c r="B18" s="3" t="inlineStr">
        <is>
          <t>목표수립-상위조직장-06</t>
        </is>
      </c>
      <c r="C18" s="14" t="inlineStr">
        <is>
          <t>목표수립</t>
        </is>
      </c>
      <c r="D18" s="3" t="inlineStr">
        <is>
          <t>상위 조직장(2차 평가자)</t>
        </is>
      </c>
      <c r="E18" s="14" t="inlineStr">
        <is>
          <t>T5 상황 변동</t>
        </is>
      </c>
      <c r="F18" s="3" t="inlineStr">
        <is>
          <t>하위 조직이 바뀌거나 팀원 발령이 있은 뒤 14일이 지났는데, 그 조직의 목표·핵심결과 소유가 하나도 바뀌지 않았을 때</t>
        </is>
      </c>
      <c r="G18" s="14" t="inlineStr">
        <is>
          <t>없음</t>
        </is>
      </c>
      <c r="H18" s="3" t="inlineStr">
        <is>
          <t>조직 변경 이력(통합·분할·신설)과 변경일; 구성원 발령 이력; 목표·핵심결과의 소속 조직과 소유자; 변경 후 경과일</t>
        </is>
      </c>
      <c r="I18" s="3" t="inlineStr">
        <is>
          <t>바뀐 조직도와 이전 조직도 비교; 영향받는 목표·핵심결과 목록; 이동한 구성원 명단; 재정렬 후보 배치안</t>
        </is>
      </c>
      <c r="J18" s="14" t="inlineStr">
        <is>
          <t>A6 요청</t>
        </is>
      </c>
      <c r="K18" s="3" t="inlineStr">
        <is>
          <t>요청 기록 + 승인 흐름 (목표 재정렬 요청 이력 저장 위치 신설 필요)</t>
        </is>
      </c>
      <c r="L18" s="14" t="n">
        <v>3</v>
      </c>
      <c r="M18" s="14" t="n">
        <v>1</v>
      </c>
      <c r="N18" s="14" t="n">
        <v>3</v>
      </c>
      <c r="O18" s="14">
        <f>L18+M18+N18</f>
        <v/>
      </c>
      <c r="P18" s="14" t="inlineStr">
        <is>
          <t>고유</t>
        </is>
      </c>
      <c r="Q18" s="14" t="inlineStr">
        <is>
          <t>재알림 없음(1회)</t>
        </is>
      </c>
      <c r="R18" s="3" t="inlineStr">
        <is>
          <t>해당 없음 — 조직 변경 자체가 팀 단위 사건이라 1건도 알린다</t>
        </is>
      </c>
      <c r="S18" s="3" t="inlineStr">
        <is>
          <t>해당 조직의 목표 소유가 갱신되면 즉시</t>
        </is>
      </c>
      <c r="T18" s="3" t="inlineStr">
        <is>
          <t>발령·직무이동 이력 채움률 0.5%(221명 중 1명) — 휴넬/JaDE 발령 원천 연동 확인 필요, T5 신호 전체의 전제. 조직 변경 이력 테이블 존재 여부 확인 필요. 알림 조절: 같은 사건으로 1차에게는 팀원별 목표 재정렬 알림이 뜨고, 2차에는 팀 단위 사건으로만 올린다</t>
        </is>
      </c>
    </row>
    <row r="19" ht="74" customHeight="1">
      <c r="A19" s="14" t="n">
        <v>17</v>
      </c>
      <c r="B19" s="3" t="inlineStr">
        <is>
          <t>목표수립-HR경영진-01</t>
        </is>
      </c>
      <c r="C19" s="14" t="inlineStr">
        <is>
          <t>목표수립</t>
        </is>
      </c>
      <c r="D19" s="3" t="inlineStr">
        <is>
          <t>HR·경영진</t>
        </is>
      </c>
      <c r="E19" s="14" t="inlineStr">
        <is>
          <t>T1 기한 도래</t>
        </is>
      </c>
      <c r="F19" s="3" t="inlineStr">
        <is>
          <t>목표수립 마감일까지 3일 이하 남았고, 전사 목표 확정률이 90%에 못 미치며 미확정 조직이 5개 이상일 때</t>
        </is>
      </c>
      <c r="G19" s="14" t="inlineStr">
        <is>
          <t>제도 기준값</t>
        </is>
      </c>
      <c r="H19" s="3" t="inlineStr">
        <is>
          <t>목표 기간 일정의 개시일·마감일; 조직별 목표 확정 건수; 조직별 대상 인원수; 조직 목록과 조직장 사번</t>
        </is>
      </c>
      <c r="I19" s="3" t="inlineStr">
        <is>
          <t>미확정 조직 목록과 조직별 확정률; 조직별 남은 건수; 지난 사이클 같은 시점 확정률</t>
        </is>
      </c>
      <c r="J19" s="14" t="inlineStr">
        <is>
          <t>A3 전달</t>
        </is>
      </c>
      <c r="K19" s="3" t="inlineStr">
        <is>
          <t>독려 메시지 발송 기록(보냄·받음) + 조직별 처리 상태 — 알림 발송 기록 신설 필요</t>
        </is>
      </c>
      <c r="L19" s="14" t="n">
        <v>3</v>
      </c>
      <c r="M19" s="14" t="n">
        <v>3</v>
      </c>
      <c r="N19" s="14" t="n">
        <v>1</v>
      </c>
      <c r="O19" s="14">
        <f>L19+M19+N19</f>
        <v/>
      </c>
      <c r="P19" s="14" t="inlineStr">
        <is>
          <t>범용</t>
        </is>
      </c>
      <c r="Q19" s="14" t="inlineStr">
        <is>
          <t>3일</t>
        </is>
      </c>
      <c r="R19" s="3" t="inlineStr">
        <is>
          <t>조직·전사 합계 기준 미확정 조직 5개 이상 또는 전사 확정률 90% 미만</t>
        </is>
      </c>
      <c r="S19" s="3" t="inlineStr">
        <is>
          <t>전사 확정률이 90%에 닿거나 마감일이 지나면</t>
        </is>
      </c>
      <c r="T19" s="3" t="inlineStr">
        <is>
          <t>목표·평가 기간 일정 마스터(개시일·마감일·리마인드 기준일)가 없어 신설 필요 — 이 카드의 전제. 알림 발송·열람·처리 기록도 서버 보존 신설 필요. 팀장(1차 평가자)에게 팀원 목표 미수립 카드가 먼저 떴다는 전제 아래 생성한다</t>
        </is>
      </c>
    </row>
    <row r="20" ht="28" customHeight="1">
      <c r="A20" s="16" t="n">
        <v>18</v>
      </c>
      <c r="B20" s="17" t="inlineStr">
        <is>
          <t>목표수립-HR경영진-02</t>
        </is>
      </c>
      <c r="C20" s="16" t="inlineStr">
        <is>
          <t>목표수립</t>
        </is>
      </c>
      <c r="D20" s="17" t="inlineStr">
        <is>
          <t>HR·경영진</t>
        </is>
      </c>
      <c r="E20" s="16" t="inlineStr">
        <is>
          <t>T2 작성 공백</t>
        </is>
      </c>
      <c r="F20" s="17" t="inlineStr">
        <is>
          <t>-</t>
        </is>
      </c>
      <c r="G20" s="16" t="inlineStr">
        <is>
          <t>-</t>
        </is>
      </c>
      <c r="H20" s="17" t="inlineStr">
        <is>
          <t>-</t>
        </is>
      </c>
      <c r="I20" s="17" t="inlineStr">
        <is>
          <t>-</t>
        </is>
      </c>
      <c r="J20" s="16" t="inlineStr">
        <is>
          <t>-</t>
        </is>
      </c>
      <c r="K20" s="17" t="inlineStr">
        <is>
          <t>-</t>
        </is>
      </c>
      <c r="L20" s="16" t="n">
        <v>2</v>
      </c>
      <c r="M20" s="16" t="n">
        <v>2</v>
      </c>
      <c r="N20" s="16" t="n">
        <v>1</v>
      </c>
      <c r="O20" s="16">
        <f>L20+M20+N20</f>
        <v/>
      </c>
      <c r="P20" s="16" t="inlineStr">
        <is>
          <t>제외</t>
        </is>
      </c>
      <c r="Q20" s="16" t="inlineStr">
        <is>
          <t>-</t>
        </is>
      </c>
      <c r="R20" s="17" t="inlineStr">
        <is>
          <t>-</t>
        </is>
      </c>
      <c r="S20" s="17" t="inlineStr">
        <is>
          <t>-</t>
        </is>
      </c>
      <c r="T20" s="17" t="inlineStr">
        <is>
          <t>목표·핵심결과·평가 어디에도 레코드 최종 수정 일시(updated_at)가 없어 '며칠째 그대로'를 확인할 수 없다 — 확인 1순위 항목. 미수립 자체는 T1(기한 도래) 카드(목표수립-HR경영진-01)가 이미 담당하므로 중복이다. updated_at이 생기면 재검토</t>
        </is>
      </c>
    </row>
    <row r="21" ht="74" customHeight="1">
      <c r="A21" s="14" t="n">
        <v>19</v>
      </c>
      <c r="B21" s="3" t="inlineStr">
        <is>
          <t>목표수립-HR경영진-03</t>
        </is>
      </c>
      <c r="C21" s="14" t="inlineStr">
        <is>
          <t>목표수립</t>
        </is>
      </c>
      <c r="D21" s="3" t="inlineStr">
        <is>
          <t>HR·경영진</t>
        </is>
      </c>
      <c r="E21" s="14" t="inlineStr">
        <is>
          <t>T3 기준 이탈</t>
        </is>
      </c>
      <c r="F21" s="3" t="inlineStr">
        <is>
          <t>한 조직의 핵심결과 중 가장 낮은 난이도의 비중이 제도 기준인 40%를 넘고, 대상 핵심결과가 10건 이상일 때</t>
        </is>
      </c>
      <c r="G21" s="14" t="inlineStr">
        <is>
          <t>제도 기준값</t>
        </is>
      </c>
      <c r="H21" s="3" t="inlineStr">
        <is>
          <t>핵심결과의 난이도 등급과 가중치; 핵심결과의 소속조직; 조직별 핵심결과 건수; 제도로 정한 난이도 분포 기준값</t>
        </is>
      </c>
      <c r="I21" s="3" t="inlineStr">
        <is>
          <t>조직별 난이도 분포와 전사 분포 비교; 난이도 근거 문장 표본; 같은 직무프로파일의 과업 난이도</t>
        </is>
      </c>
      <c r="J21" s="14" t="inlineStr">
        <is>
          <t>A6 요청</t>
        </is>
      </c>
      <c r="K21" s="3" t="inlineStr">
        <is>
          <t>난이도 재검토 요청 기록 + 조직별 회신·수정 상태 — 요청 처리 이력 신설 필요</t>
        </is>
      </c>
      <c r="L21" s="14" t="n">
        <v>2</v>
      </c>
      <c r="M21" s="14" t="n">
        <v>2</v>
      </c>
      <c r="N21" s="14" t="n">
        <v>3</v>
      </c>
      <c r="O21" s="14">
        <f>L21+M21+N21</f>
        <v/>
      </c>
      <c r="P21" s="14" t="inlineStr">
        <is>
          <t>고유</t>
        </is>
      </c>
      <c r="Q21" s="14" t="inlineStr">
        <is>
          <t>14일</t>
        </is>
      </c>
      <c r="R21" s="3" t="inlineStr">
        <is>
          <t>조직·전사 합계 기준 조직당 대상 핵심결과 10건 이상 또는 그 조직 핵심결과의 20% 이상</t>
        </is>
      </c>
      <c r="S21" s="3" t="inlineStr">
        <is>
          <t>해당 조직의 난이도 분포가 기준 안으로 들어오거나 재검토 회신이 등록되면</t>
        </is>
      </c>
      <c r="T21" s="3" t="inlineStr">
        <is>
          <t>제도로 정한 난이도 분포 기준값이 아직 없어 확인·신설 필요. 난이도 등급(A~C)과 난이도 근거는 핵심결과 146건에 98.6% 채워져 있어 판단 자체는 가능. 경영진용 카드(목표수립-HR경영진-06)와 같은 원인이며 행동만 다르다</t>
        </is>
      </c>
    </row>
    <row r="22" ht="74" customHeight="1">
      <c r="A22" s="14" t="n">
        <v>20</v>
      </c>
      <c r="B22" s="3" t="inlineStr">
        <is>
          <t>목표수립-HR경영진-04</t>
        </is>
      </c>
      <c r="C22" s="14" t="inlineStr">
        <is>
          <t>목표수립</t>
        </is>
      </c>
      <c r="D22" s="3" t="inlineStr">
        <is>
          <t>HR·경영진</t>
        </is>
      </c>
      <c r="E22" s="14" t="inlineStr">
        <is>
          <t>T3 기준 이탈</t>
        </is>
      </c>
      <c r="F22" s="3" t="inlineStr">
        <is>
          <t>조직 간 낮은 난이도 비중 격차가 30%p 이상이고, 비교 대상 조직이 5개 이상일 때</t>
        </is>
      </c>
      <c r="G22" s="14" t="inlineStr">
        <is>
          <t>제도 기준값</t>
        </is>
      </c>
      <c r="H22" s="3" t="inlineStr">
        <is>
          <t>조직별 핵심결과 난이도 분포; 핵심결과 가중치; 조직 계층과 조직 기능; 조직별 인원수</t>
        </is>
      </c>
      <c r="I22" s="3" t="inlineStr">
        <is>
          <t>조직별 난이도·가중치 분포표; 조직 기능별 비교; 지난 사이클 같은 분포</t>
        </is>
      </c>
      <c r="J22" s="14" t="inlineStr">
        <is>
          <t>A5 확인</t>
        </is>
      </c>
      <c r="K22" s="3" t="inlineStr">
        <is>
          <t>조회만 — 남는 것 없음</t>
        </is>
      </c>
      <c r="L22" s="14" t="n">
        <v>2</v>
      </c>
      <c r="M22" s="14" t="n">
        <v>2</v>
      </c>
      <c r="N22" s="14" t="n">
        <v>3</v>
      </c>
      <c r="O22" s="14">
        <f>L22+M22+N22</f>
        <v/>
      </c>
      <c r="P22" s="14" t="inlineStr">
        <is>
          <t>고유</t>
        </is>
      </c>
      <c r="Q22" s="14" t="inlineStr">
        <is>
          <t>14일</t>
        </is>
      </c>
      <c r="R22" s="3" t="inlineStr">
        <is>
          <t>조직·전사 합계 기준 비교 대상 조직 5개 이상</t>
        </is>
      </c>
      <c r="S22" s="3" t="inlineStr">
        <is>
          <t>조직 간 격차가 30%p 아래로 줄어들면</t>
        </is>
      </c>
      <c r="T22" s="3" t="inlineStr">
        <is>
          <t>조회 전용이므로 남는 기록이 없다. 같은 원인의 실제 조치는 HR용 카드(목표수립-HR경영진-05)의 난이도 재검토 요청으로 남으므로, 이 카드는 05와 묶어 생성하고 단독으로는 만들지 않는다</t>
        </is>
      </c>
    </row>
    <row r="23" ht="74" customHeight="1">
      <c r="A23" s="14" t="n">
        <v>21</v>
      </c>
      <c r="B23" s="3" t="inlineStr">
        <is>
          <t>목표수립-HR경영진-05</t>
        </is>
      </c>
      <c r="C23" s="14" t="inlineStr">
        <is>
          <t>목표수립</t>
        </is>
      </c>
      <c r="D23" s="3" t="inlineStr">
        <is>
          <t>HR·경영진</t>
        </is>
      </c>
      <c r="E23" s="14" t="inlineStr">
        <is>
          <t>T4 연결 불일치</t>
        </is>
      </c>
      <c r="F23" s="3" t="inlineStr">
        <is>
          <t>한 조직 안에서 상위목표에 연결되지 않은 목표가 5건 이상이거나 그 조직 목표의 20% 이상일 때</t>
        </is>
      </c>
      <c r="G23" s="14" t="inlineStr">
        <is>
          <t>제도 기준값</t>
        </is>
      </c>
      <c r="H23" s="3" t="inlineStr">
        <is>
          <t>목표의 상위목표 연결 여부; 목표의 소속조직과 레벨; 조직 계층 구조; 조직별 목표 건수</t>
        </is>
      </c>
      <c r="I23" s="3" t="inlineStr">
        <is>
          <t>미연결 목표 목록과 조직별 비중; 해당 조직의 상위 조직목표 제목; 목표 연결 기준 안내 문구</t>
        </is>
      </c>
      <c r="J23" s="14" t="inlineStr">
        <is>
          <t>A3 전달</t>
        </is>
      </c>
      <c r="K23" s="3" t="inlineStr">
        <is>
          <t>안내 메시지 발송 기록(보냄·받음) + 조직별 보완 요청 상태 — 알림 발송 기록 신설 필요</t>
        </is>
      </c>
      <c r="L23" s="14" t="n">
        <v>3</v>
      </c>
      <c r="M23" s="14" t="n">
        <v>2</v>
      </c>
      <c r="N23" s="14" t="n">
        <v>3</v>
      </c>
      <c r="O23" s="14">
        <f>L23+M23+N23</f>
        <v/>
      </c>
      <c r="P23" s="14" t="inlineStr">
        <is>
          <t>고유</t>
        </is>
      </c>
      <c r="Q23" s="14" t="inlineStr">
        <is>
          <t>14일</t>
        </is>
      </c>
      <c r="R23" s="3" t="inlineStr">
        <is>
          <t>조직·전사 합계 기준 조직당 미연결 5건 이상 또는 그 조직 목표의 20% 이상</t>
        </is>
      </c>
      <c r="S23" s="3" t="inlineStr">
        <is>
          <t>해당 조직의 미연결 비중이 20% 아래로 내려가면</t>
        </is>
      </c>
      <c r="T23" s="3" t="inlineStr">
        <is>
          <t>같은 원인으로 경영진용 카드(목표수립-HR경영진-03)가 함께 생성된다 — HR은 기준 안내·보완 독려, 경영진은 조직 목표 재정렬 요청으로 K·L·M만 갈린다. 팀장(1차 평가자)이 팀원 목표 정렬 카드를 먼저 받는다는 전제. 상위목표 연결은 목표 40건 중 95% 채워져 확인 가능</t>
        </is>
      </c>
    </row>
    <row r="24" ht="74" customHeight="1">
      <c r="A24" s="14" t="n">
        <v>22</v>
      </c>
      <c r="B24" s="3" t="inlineStr">
        <is>
          <t>목표수립-HR경영진-06</t>
        </is>
      </c>
      <c r="C24" s="14" t="inlineStr">
        <is>
          <t>목표수립</t>
        </is>
      </c>
      <c r="D24" s="3" t="inlineStr">
        <is>
          <t>HR·경영진</t>
        </is>
      </c>
      <c r="E24" s="14" t="inlineStr">
        <is>
          <t>T4 연결 불일치</t>
        </is>
      </c>
      <c r="F24" s="3" t="inlineStr">
        <is>
          <t>한 본부 안에서 상위목표에 연결되지 않은 목표가 20% 이상이고, 그 본부의 전략과제 연결 목표가 2건 이하일 때</t>
        </is>
      </c>
      <c r="G24" s="14" t="inlineStr">
        <is>
          <t>제도 기준값</t>
        </is>
      </c>
      <c r="H24" s="3" t="inlineStr">
        <is>
          <t>목표의 상위목표 연결; 목표의 전략과제 연결; 조직 계층과 본부 구분; 조직별 목표 건수와 인원수</t>
        </is>
      </c>
      <c r="I24" s="3" t="inlineStr">
        <is>
          <t>본부별 미연결 비중; 본부가 맡은 전략과제와 과제별 KPI 현재값; 연결이 끊긴 목표 제목</t>
        </is>
      </c>
      <c r="J24" s="14" t="inlineStr">
        <is>
          <t>A6 요청</t>
        </is>
      </c>
      <c r="K24" s="3" t="inlineStr">
        <is>
          <t>조직 목표 재정렬 검토 요청 기록 + 승인·회신 흐름 — 요청 처리 이력 신설 필요</t>
        </is>
      </c>
      <c r="L24" s="14" t="n">
        <v>3</v>
      </c>
      <c r="M24" s="14" t="n">
        <v>2</v>
      </c>
      <c r="N24" s="14" t="n">
        <v>3</v>
      </c>
      <c r="O24" s="14">
        <f>L24+M24+N24</f>
        <v/>
      </c>
      <c r="P24" s="14" t="inlineStr">
        <is>
          <t>고유</t>
        </is>
      </c>
      <c r="Q24" s="14" t="inlineStr">
        <is>
          <t>14일</t>
        </is>
      </c>
      <c r="R24" s="3" t="inlineStr">
        <is>
          <t>조직·전사 합계 기준 본부당 미연결 20% 이상이며 대상 목표 5건 이상</t>
        </is>
      </c>
      <c r="S24" s="3" t="inlineStr">
        <is>
          <t>요청 회신이 등록되거나 미연결 비중이 20% 아래로 내려가면</t>
        </is>
      </c>
      <c r="T24" s="3" t="inlineStr">
        <is>
          <t>HR용 카드(목표수립-HR경영진-02)와 같은 원인·같은 근거를 쓰고 행동만 다르다(HR=기준 안내, 경영진=조직 재정렬 요청). 두 카드가 함께 뜨므로 한쪽이 해소되면 다른 쪽 문구를 갱신한다. 전략과제 연결은 목표 100%·과제별 KPI가 있어 확인 가능</t>
        </is>
      </c>
    </row>
    <row r="25" ht="74" customHeight="1">
      <c r="A25" s="14" t="n">
        <v>23</v>
      </c>
      <c r="B25" s="3" t="inlineStr">
        <is>
          <t>목표수립-HR경영진-07</t>
        </is>
      </c>
      <c r="C25" s="14" t="inlineStr">
        <is>
          <t>목표수립</t>
        </is>
      </c>
      <c r="D25" s="3" t="inlineStr">
        <is>
          <t>HR·경영진</t>
        </is>
      </c>
      <c r="E25" s="14" t="inlineStr">
        <is>
          <t>T5 상황 변동</t>
        </is>
      </c>
      <c r="F25" s="3" t="inlineStr">
        <is>
          <t>최근 30일 안에 조직 개편이나 발령이 있었고, 그 대상 인원 중 목표를 다시 세운 비율이 50%에 못 미치며 대상이 5명 이상일 때</t>
        </is>
      </c>
      <c r="G25" s="14" t="inlineStr">
        <is>
          <t>계획 대비</t>
        </is>
      </c>
      <c r="H25" s="3" t="inlineStr">
        <is>
          <t>발령·직무이동 이력과 발효일; 이동 인원의 소속조직 변경 전후; 이동 후 목표 생성·수정 여부; 조직 개편 이력</t>
        </is>
      </c>
      <c r="I25" s="3" t="inlineStr">
        <is>
          <t>이동 인원이 속한 조직별 미재수립 건수; 이동 전 목표의 상위목표; 새 조직의 조직목표 제목</t>
        </is>
      </c>
      <c r="J25" s="14" t="inlineStr">
        <is>
          <t>A6 요청</t>
        </is>
      </c>
      <c r="K25" s="3" t="inlineStr">
        <is>
          <t>목표 재수립 기한 조정 요청 기록 + 조직별 이행 상태 — 요청 처리 이력 신설 필요</t>
        </is>
      </c>
      <c r="L25" s="14" t="n">
        <v>3</v>
      </c>
      <c r="M25" s="14" t="n">
        <v>2</v>
      </c>
      <c r="N25" s="14" t="n">
        <v>3</v>
      </c>
      <c r="O25" s="14">
        <f>L25+M25+N25</f>
        <v/>
      </c>
      <c r="P25" s="14" t="inlineStr">
        <is>
          <t>고유</t>
        </is>
      </c>
      <c r="Q25" s="14" t="inlineStr">
        <is>
          <t>재알림 없음(1회)</t>
        </is>
      </c>
      <c r="R25" s="3" t="inlineStr">
        <is>
          <t>조직·전사 합계 기준 이동 인원 5명 이상 또는 이동 대상 조직의 20% 이상</t>
        </is>
      </c>
      <c r="S25" s="3" t="inlineStr">
        <is>
          <t>대상 인원의 재수립 비율이 50%를 넘거나 조정된 기한이 등록되면</t>
        </is>
      </c>
      <c r="T25" s="3" t="inlineStr">
        <is>
          <t>발령·직무이동 이력 채움률이 221명 중 1명(0.5%)이라 휴넬·JaDE 발령 원천 연동 확인 필요 — 이 신호의 전제. 조직 개편 이력 테이블도 확인 필요. 중간점검 단계의 같은 원인은 이 카드로 흡수한다</t>
        </is>
      </c>
    </row>
    <row r="26" ht="74" customHeight="1">
      <c r="A26" s="14" t="n">
        <v>24</v>
      </c>
      <c r="B26" s="3" t="inlineStr">
        <is>
          <t>중간점검-구성원-01</t>
        </is>
      </c>
      <c r="C26" s="14" t="inlineStr">
        <is>
          <t>중간점검</t>
        </is>
      </c>
      <c r="D26" s="3" t="inlineStr">
        <is>
          <t>구성원</t>
        </is>
      </c>
      <c r="E26" s="14" t="inlineStr">
        <is>
          <t>T2 작성 공백</t>
        </is>
      </c>
      <c r="F26" s="3" t="inlineStr">
        <is>
          <t>마지막 점검일로부터 21일 이상 지났고, 목표 기간이 아직 남아 있을 때</t>
        </is>
      </c>
      <c r="G26" s="14" t="inlineStr">
        <is>
          <t>팀 평균</t>
        </is>
      </c>
      <c r="H26" s="3" t="inlineStr">
        <is>
          <t>점검 기록의 마지막 작성일; 목표 기간; 같은 팀의 점검 이력</t>
        </is>
      </c>
      <c r="I26" s="3" t="inlineStr">
        <is>
          <t>내 목표의 현재 진척; 최근 활동 기록; 지난 점검에 쓴 문장</t>
        </is>
      </c>
      <c r="J26" s="14" t="inlineStr">
        <is>
          <t>A1 작성</t>
        </is>
      </c>
      <c r="K26" s="3" t="inlineStr">
        <is>
          <t>체크인 기록 신규 생성</t>
        </is>
      </c>
      <c r="L26" s="14" t="n">
        <v>3</v>
      </c>
      <c r="M26" s="14" t="n">
        <v>3</v>
      </c>
      <c r="N26" s="14" t="n">
        <v>1</v>
      </c>
      <c r="O26" s="14">
        <f>L26+M26+N26</f>
        <v/>
      </c>
      <c r="P26" s="14" t="inlineStr">
        <is>
          <t>범용</t>
        </is>
      </c>
      <c r="Q26" s="14" t="inlineStr">
        <is>
          <t>7일</t>
        </is>
      </c>
      <c r="R26" s="3" t="inlineStr">
        <is>
          <t>해당 없음</t>
        </is>
      </c>
      <c r="S26" s="3" t="inlineStr">
        <is>
          <t>점검을 저장하면 즉시</t>
        </is>
      </c>
      <c r="T26" s="3" t="inlineStr">
        <is>
          <t>점검 360건의 작성일은 실측 확인. 다만 목표 소유자와 점검 작성자 일치율이 5.6%여서 '내 목표'의 소유권 정의 확인 필요</t>
        </is>
      </c>
    </row>
    <row r="27" ht="74" customHeight="1">
      <c r="A27" s="14" t="n">
        <v>25</v>
      </c>
      <c r="B27" s="3" t="inlineStr">
        <is>
          <t>중간점검-구성원-02</t>
        </is>
      </c>
      <c r="C27" s="14" t="inlineStr">
        <is>
          <t>중간점검</t>
        </is>
      </c>
      <c r="D27" s="3" t="inlineStr">
        <is>
          <t>구성원</t>
        </is>
      </c>
      <c r="E27" s="14" t="inlineStr">
        <is>
          <t>T3 기준 이탈</t>
        </is>
      </c>
      <c r="F27" s="3" t="inlineStr">
        <is>
          <t>목표 기간이 60% 이상 지났는데 진척률이 기간 경과율보다 30%포인트 이상 낮을 때</t>
        </is>
      </c>
      <c r="G27" s="14" t="inlineStr">
        <is>
          <t>계획 대비</t>
        </is>
      </c>
      <c r="H27" s="3" t="inlineStr">
        <is>
          <t>목표·핵심결과의 진척률; 목표 기간의 시작일과 종료일; 오늘 날짜</t>
        </is>
      </c>
      <c r="I27" s="3" t="inlineStr">
        <is>
          <t>뒤처진 핵심결과의 목표값과 현재값; 최근 점검의 장애요인 코멘트; 최근 점검의 확신도 기록</t>
        </is>
      </c>
      <c r="J27" s="14" t="inlineStr">
        <is>
          <t>A1 작성</t>
        </is>
      </c>
      <c r="K27" s="3" t="inlineStr">
        <is>
          <t>체크인 기록 신규 생성 (장애요인·만회 계획 포함)</t>
        </is>
      </c>
      <c r="L27" s="14" t="n">
        <v>3</v>
      </c>
      <c r="M27" s="14" t="n">
        <v>3</v>
      </c>
      <c r="N27" s="14" t="n">
        <v>2</v>
      </c>
      <c r="O27" s="14">
        <f>L27+M27+N27</f>
        <v/>
      </c>
      <c r="P27" s="14" t="inlineStr">
        <is>
          <t>고유</t>
        </is>
      </c>
      <c r="Q27" s="14" t="inlineStr">
        <is>
          <t>7일</t>
        </is>
      </c>
      <c r="R27" s="3" t="inlineStr">
        <is>
          <t>해당 없음</t>
        </is>
      </c>
      <c r="S27" s="3" t="inlineStr">
        <is>
          <t>점검을 저장하면 즉시</t>
        </is>
      </c>
      <c r="T27" s="3" t="inlineStr">
        <is>
          <t>목표·핵심결과 진척률과 장애요인(70%)·확신도는 실측 확인. 기간 경과율 계산에 목표 기간의 시작·종료 날짜가 필요하나 현재는 기간 문자열뿐 — 일정 마스터 확인 필요</t>
        </is>
      </c>
    </row>
    <row r="28" ht="74" customHeight="1">
      <c r="A28" s="14" t="n">
        <v>26</v>
      </c>
      <c r="B28" s="3" t="inlineStr">
        <is>
          <t>중간점검-구성원-03</t>
        </is>
      </c>
      <c r="C28" s="14" t="inlineStr">
        <is>
          <t>중간점검</t>
        </is>
      </c>
      <c r="D28" s="3" t="inlineStr">
        <is>
          <t>구성원</t>
        </is>
      </c>
      <c r="E28" s="14" t="inlineStr">
        <is>
          <t>T4 연결 불일치</t>
        </is>
      </c>
      <c r="F28" s="3" t="inlineStr">
        <is>
          <t>가장 최근 점검 2회의 진척 증감이 모두 0이고, 같은 핵심결과의 현재값이 30일 이상 바뀌지 않았을 때</t>
        </is>
      </c>
      <c r="G28" s="14" t="inlineStr">
        <is>
          <t>본인 예전 기록</t>
        </is>
      </c>
      <c r="H28" s="3" t="inlineStr">
        <is>
          <t>점검별 진척 증감; 핵심결과 현재값의 변경 이력; 점검 작성일</t>
        </is>
      </c>
      <c r="I28" s="3" t="inlineStr">
        <is>
          <t>멈춰 있는 핵심결과의 목표값·현재값; 최근 점검의 장애요인과 확신도; 지난 분기에 같은 상황을 풀어낸 점검 문장</t>
        </is>
      </c>
      <c r="J28" s="14" t="inlineStr">
        <is>
          <t>A2 수정</t>
        </is>
      </c>
      <c r="K28" s="3" t="inlineStr">
        <is>
          <t>핵심결과 현재값 수정 + 수정 이력, 점검 기록에 사유 추가</t>
        </is>
      </c>
      <c r="L28" s="14" t="n">
        <v>3</v>
      </c>
      <c r="M28" s="14" t="n">
        <v>2</v>
      </c>
      <c r="N28" s="14" t="n">
        <v>2</v>
      </c>
      <c r="O28" s="14">
        <f>L28+M28+N28</f>
        <v/>
      </c>
      <c r="P28" s="14" t="inlineStr">
        <is>
          <t>고유</t>
        </is>
      </c>
      <c r="Q28" s="14" t="inlineStr">
        <is>
          <t>7일</t>
        </is>
      </c>
      <c r="R28" s="3" t="inlineStr">
        <is>
          <t>해당 없음</t>
        </is>
      </c>
      <c r="S28" s="3" t="inlineStr">
        <is>
          <t>현재값을 수정하거나 사유를 담은 점검을 저장하면 즉시</t>
        </is>
      </c>
      <c r="T28" s="3" t="inlineStr">
        <is>
          <t>점검의 진척 증감은 실측 확인(360건). 핵심결과 현재값의 변경 이력이 없어 '32일째 동일'을 확인할 수 없음 — 값 변경 이력 신설 확인 필요. T2(작성 공백)와 원인이 겹쳐 보이므로, 점검이 계속 써지고 있을 때만 이 카드를 만들고 그 외는 T2로 처리</t>
        </is>
      </c>
    </row>
    <row r="29" ht="74" customHeight="1">
      <c r="A29" s="14" t="n">
        <v>27</v>
      </c>
      <c r="B29" s="3" t="inlineStr">
        <is>
          <t>중간점검-구성원-04</t>
        </is>
      </c>
      <c r="C29" s="14" t="inlineStr">
        <is>
          <t>중간점검</t>
        </is>
      </c>
      <c r="D29" s="3" t="inlineStr">
        <is>
          <t>구성원</t>
        </is>
      </c>
      <c r="E29" s="14" t="inlineStr">
        <is>
          <t>T5 상황 변동</t>
        </is>
      </c>
      <c r="F29" s="3" t="inlineStr">
        <is>
          <t>내 목표가 연결된 상위 목표의 내용이나 목표값이 바뀐 지 7일 안이고, 내 목표는 그 뒤로 한 번도 수정되지 않았을 때</t>
        </is>
      </c>
      <c r="G29" s="14" t="inlineStr">
        <is>
          <t>없음</t>
        </is>
      </c>
      <c r="H29" s="3" t="inlineStr">
        <is>
          <t>상위 목표의 변경 이력과 변경 일시; 내 목표의 상위 목표 연결; 내 목표의 최종 수정 일시</t>
        </is>
      </c>
      <c r="I29" s="3" t="inlineStr">
        <is>
          <t>바뀐 상위 목표의 이전·이후 내용; 내 목표와 핵심결과 문장; 같은 상위 목표에 걸린 다른 목표들의 표현</t>
        </is>
      </c>
      <c r="J29" s="14" t="inlineStr">
        <is>
          <t>A2 수정</t>
        </is>
      </c>
      <c r="K29" s="3" t="inlineStr">
        <is>
          <t>목표·핵심결과 수정 + 수정 이력 (상위 목표 변경 사유 연결)</t>
        </is>
      </c>
      <c r="L29" s="14" t="n">
        <v>3</v>
      </c>
      <c r="M29" s="14" t="n">
        <v>2</v>
      </c>
      <c r="N29" s="14" t="n">
        <v>3</v>
      </c>
      <c r="O29" s="14">
        <f>L29+M29+N29</f>
        <v/>
      </c>
      <c r="P29" s="14" t="inlineStr">
        <is>
          <t>고유</t>
        </is>
      </c>
      <c r="Q29" s="14" t="inlineStr">
        <is>
          <t>재알림 없음(1회)</t>
        </is>
      </c>
      <c r="R29" s="3" t="inlineStr">
        <is>
          <t>해당 없음</t>
        </is>
      </c>
      <c r="S29" s="3" t="inlineStr">
        <is>
          <t>목표를 저장하거나 '그대로 두기'로 표시하면 즉시</t>
        </is>
      </c>
      <c r="T29" s="3" t="inlineStr">
        <is>
          <t>상위 목표 연결은 실측 95%. 목표의 변경 이력·최종 수정 일시가 없어 신설 필요(확인 1순위). 같은 원인으로 팀장(1차 평가자)에게도 알림이 가능하므로 구성원 먼저, 3일 안에 반영되지 않을 때만 조직장에게 올리도록 순서 지정 필요</t>
        </is>
      </c>
    </row>
    <row r="30" ht="28" customHeight="1">
      <c r="A30" s="16" t="n">
        <v>28</v>
      </c>
      <c r="B30" s="17" t="inlineStr">
        <is>
          <t>중간점검-구성원-05</t>
        </is>
      </c>
      <c r="C30" s="16" t="inlineStr">
        <is>
          <t>중간점검</t>
        </is>
      </c>
      <c r="D30" s="17" t="inlineStr">
        <is>
          <t>구성원</t>
        </is>
      </c>
      <c r="E30" s="16" t="inlineStr">
        <is>
          <t>T5 상황 변동</t>
        </is>
      </c>
      <c r="F30" s="17" t="inlineStr">
        <is>
          <t>-</t>
        </is>
      </c>
      <c r="G30" s="16" t="inlineStr">
        <is>
          <t>없음</t>
        </is>
      </c>
      <c r="H30" s="17" t="inlineStr">
        <is>
          <t>-</t>
        </is>
      </c>
      <c r="I30" s="17" t="inlineStr">
        <is>
          <t>-</t>
        </is>
      </c>
      <c r="J30" s="16" t="inlineStr">
        <is>
          <t>-</t>
        </is>
      </c>
      <c r="K30" s="17" t="inlineStr">
        <is>
          <t>-</t>
        </is>
      </c>
      <c r="L30" s="16" t="n">
        <v>1</v>
      </c>
      <c r="M30" s="16" t="n">
        <v>1</v>
      </c>
      <c r="N30" s="16" t="n">
        <v>3</v>
      </c>
      <c r="O30" s="16">
        <f>L30+M30+N30</f>
        <v/>
      </c>
      <c r="P30" s="16" t="inlineStr">
        <is>
          <t>제외</t>
        </is>
      </c>
      <c r="Q30" s="16" t="inlineStr">
        <is>
          <t>-</t>
        </is>
      </c>
      <c r="R30" s="17" t="inlineStr">
        <is>
          <t>-</t>
        </is>
      </c>
      <c r="S30" s="17" t="inlineStr">
        <is>
          <t>-</t>
        </is>
      </c>
      <c r="T30" s="17" t="inlineStr">
        <is>
          <t>살펴본 기록으로만 남김. '같은 목표에 함께 걸린 동료'를 확인할 목표-참여자 관계가 사실상 없어 제외(신호 3조건 중 ③ 규칙으로 확인 불가). 목표에 공동 담당자 필드가 생기면 다시 검토</t>
        </is>
      </c>
    </row>
    <row r="31" ht="74" customHeight="1">
      <c r="A31" s="14" t="n">
        <v>29</v>
      </c>
      <c r="B31" s="3" t="inlineStr">
        <is>
          <t>중간점검-팀장-01</t>
        </is>
      </c>
      <c r="C31" s="14" t="inlineStr">
        <is>
          <t>중간점검</t>
        </is>
      </c>
      <c r="D31" s="3" t="inlineStr">
        <is>
          <t>팀장(1차 평가자)</t>
        </is>
      </c>
      <c r="E31" s="14" t="inlineStr">
        <is>
          <t>T1 기한 도래</t>
        </is>
      </c>
      <c r="F31" s="3" t="inlineStr">
        <is>
          <t>이번 회차 점검 마감일까지 3일 이하로 남았고, 그 팀원의 이번 회차 점검이 0건일 때</t>
        </is>
      </c>
      <c r="G31" s="14" t="inlineStr">
        <is>
          <t>제도 기준값</t>
        </is>
      </c>
      <c r="H31" s="3" t="inlineStr">
        <is>
          <t>중간점검 회차의 마감일; 팀원별 이번 회차 점검 건수; 직속 팀원 명단</t>
        </is>
      </c>
      <c r="I31" s="3" t="inlineStr">
        <is>
          <t>그 팀원 핵심결과의 목표값과 현재값; 지난 회차에 쓴 점검 문장; 최근 진척 증감</t>
        </is>
      </c>
      <c r="J31" s="14" t="inlineStr">
        <is>
          <t>A3 전달</t>
        </is>
      </c>
      <c r="K31" s="3" t="inlineStr">
        <is>
          <t>메시지 기록 + 보냄·받음 기록 생성 (알림·메시지 발송·열람 기록 저장 위치 신설 필요)</t>
        </is>
      </c>
      <c r="L31" s="14" t="n">
        <v>3</v>
      </c>
      <c r="M31" s="14" t="n">
        <v>3</v>
      </c>
      <c r="N31" s="14" t="n">
        <v>1</v>
      </c>
      <c r="O31" s="14">
        <f>L31+M31+N31</f>
        <v/>
      </c>
      <c r="P31" s="14" t="inlineStr">
        <is>
          <t>범용</t>
        </is>
      </c>
      <c r="Q31" s="14" t="inlineStr">
        <is>
          <t>3일</t>
        </is>
      </c>
      <c r="R31" s="3" t="inlineStr">
        <is>
          <t>해당 없음</t>
        </is>
      </c>
      <c r="S31" s="3" t="inlineStr">
        <is>
          <t>그 팀원이 이번 회차 점검을 저장하면 즉시</t>
        </is>
      </c>
      <c r="T31" s="3" t="inlineStr">
        <is>
          <t>점검 회차와 마감일을 담는 일정 마스터가 없음 — 신설 확인 필요. 구성원에게 같은 원인 카드가 먼저 뜨므로 1차 카드는 마감 3일 전부터만 만든다</t>
        </is>
      </c>
    </row>
    <row r="32" ht="74" customHeight="1">
      <c r="A32" s="14" t="n">
        <v>30</v>
      </c>
      <c r="B32" s="3" t="inlineStr">
        <is>
          <t>중간점검-팀장-02</t>
        </is>
      </c>
      <c r="C32" s="14" t="inlineStr">
        <is>
          <t>중간점검</t>
        </is>
      </c>
      <c r="D32" s="3" t="inlineStr">
        <is>
          <t>팀장(1차 평가자)</t>
        </is>
      </c>
      <c r="E32" s="14" t="inlineStr">
        <is>
          <t>T2 작성 공백</t>
        </is>
      </c>
      <c r="F32" s="3" t="inlineStr">
        <is>
          <t>그 팀원의 마지막 점검일로부터 21일 이상 지났고, 그 팀원 목표 기간이 아직 남아 있을 때</t>
        </is>
      </c>
      <c r="G32" s="14" t="inlineStr">
        <is>
          <t>팀 평균</t>
        </is>
      </c>
      <c r="H32" s="3" t="inlineStr">
        <is>
          <t>팀원별 점검의 마지막 작성일; 같은 팀 점검 간격 평균; 그 팀원 목표의 기간</t>
        </is>
      </c>
      <c r="I32" s="3" t="inlineStr">
        <is>
          <t>그 팀원 목표·핵심결과의 진척률; 마지막 점검에 쓴 문장과 장애요인; 최근 진척 증감</t>
        </is>
      </c>
      <c r="J32" s="14" t="inlineStr">
        <is>
          <t>A3 전달</t>
        </is>
      </c>
      <c r="K32" s="3" t="inlineStr">
        <is>
          <t>메시지 기록 + 보냄·받음 기록 생성 (알림·메시지 발송·열람 기록 저장 위치 신설 필요)</t>
        </is>
      </c>
      <c r="L32" s="14" t="n">
        <v>3</v>
      </c>
      <c r="M32" s="14" t="n">
        <v>3</v>
      </c>
      <c r="N32" s="14" t="n">
        <v>2</v>
      </c>
      <c r="O32" s="14">
        <f>L32+M32+N32</f>
        <v/>
      </c>
      <c r="P32" s="14" t="inlineStr">
        <is>
          <t>고유</t>
        </is>
      </c>
      <c r="Q32" s="14" t="inlineStr">
        <is>
          <t>7일</t>
        </is>
      </c>
      <c r="R32" s="3" t="inlineStr">
        <is>
          <t>해당 없음</t>
        </is>
      </c>
      <c r="S32" s="3" t="inlineStr">
        <is>
          <t>그 팀원의 새 점검이 저장되면 즉시</t>
        </is>
      </c>
      <c r="T32" s="3" t="inlineStr">
        <is>
          <t>점검 작성일은 실측 확인됨(360건). 마감 임박 카드(중간점검-팀장-01)가 떠 있는 동안에는 이 카드를 만들지 않는다</t>
        </is>
      </c>
    </row>
    <row r="33" ht="74" customHeight="1">
      <c r="A33" s="14" t="n">
        <v>31</v>
      </c>
      <c r="B33" s="3" t="inlineStr">
        <is>
          <t>중간점검-팀장-03</t>
        </is>
      </c>
      <c r="C33" s="14" t="inlineStr">
        <is>
          <t>중간점검</t>
        </is>
      </c>
      <c r="D33" s="3" t="inlineStr">
        <is>
          <t>팀장(1차 평가자)</t>
        </is>
      </c>
      <c r="E33" s="14" t="inlineStr">
        <is>
          <t>T3 기준 이탈</t>
        </is>
      </c>
      <c r="F33" s="3" t="inlineStr">
        <is>
          <t>그 팀원의 최근 점검 2회가 모두 확신도 낮음이고, 그 두 점검 사이 진척이 0%p 오른 상태일 때</t>
        </is>
      </c>
      <c r="G33" s="14" t="inlineStr">
        <is>
          <t>팀 평균</t>
        </is>
      </c>
      <c r="H33" s="3" t="inlineStr">
        <is>
          <t>점검의 확신도 값과 작성 순서; 점검별 진척 증감; 같은 팀 같은 기간의 진척 증감 평균</t>
        </is>
      </c>
      <c r="I33" s="3" t="inlineStr">
        <is>
          <t>그 팀원 점검 코멘트와 장애요인; 핵심결과의 목표값·현재값·가중치·난이도 근거; 목표 기간 중 남은 날짜</t>
        </is>
      </c>
      <c r="J33" s="14" t="inlineStr">
        <is>
          <t>A4 면담</t>
        </is>
      </c>
      <c r="K33" s="3" t="inlineStr">
        <is>
          <t>일정 생성 + 이야기할 항목 기록(멈춘 핵심결과 2건·필요한 지원·목표값 조정 여부) (1on1 기록 서버 보존 신설 필요)</t>
        </is>
      </c>
      <c r="L33" s="14" t="n">
        <v>3</v>
      </c>
      <c r="M33" s="14" t="n">
        <v>2</v>
      </c>
      <c r="N33" s="14" t="n">
        <v>3</v>
      </c>
      <c r="O33" s="14">
        <f>L33+M33+N33</f>
        <v/>
      </c>
      <c r="P33" s="14" t="inlineStr">
        <is>
          <t>고유</t>
        </is>
      </c>
      <c r="Q33" s="14" t="inlineStr">
        <is>
          <t>7일</t>
        </is>
      </c>
      <c r="R33" s="3" t="inlineStr">
        <is>
          <t>해당 없음</t>
        </is>
      </c>
      <c r="S33" s="3" t="inlineStr">
        <is>
          <t>1on1 일정이 저장되면 즉시</t>
        </is>
      </c>
      <c r="T33" s="3" t="inlineStr">
        <is>
          <t>확신도(high/medium/low)와 진척 증감은 실측 확인됨(점검 360건). 1on1 기록이 브라우저 80건 롤링뿐이어서 서버 보존 신설 필요</t>
        </is>
      </c>
    </row>
    <row r="34" ht="28" customHeight="1">
      <c r="A34" s="16" t="n">
        <v>32</v>
      </c>
      <c r="B34" s="17" t="inlineStr">
        <is>
          <t>중간점검-팀장-04</t>
        </is>
      </c>
      <c r="C34" s="16" t="inlineStr">
        <is>
          <t>중간점검</t>
        </is>
      </c>
      <c r="D34" s="17" t="inlineStr">
        <is>
          <t>팀장(1차 평가자)</t>
        </is>
      </c>
      <c r="E34" s="16" t="inlineStr">
        <is>
          <t>T3 기준 이탈</t>
        </is>
      </c>
      <c r="F34" s="17" t="inlineStr">
        <is>
          <t>-</t>
        </is>
      </c>
      <c r="G34" s="16" t="inlineStr">
        <is>
          <t>-</t>
        </is>
      </c>
      <c r="H34" s="17" t="inlineStr">
        <is>
          <t>-</t>
        </is>
      </c>
      <c r="I34" s="17" t="inlineStr">
        <is>
          <t>-</t>
        </is>
      </c>
      <c r="J34" s="16" t="inlineStr">
        <is>
          <t>-</t>
        </is>
      </c>
      <c r="K34" s="17" t="inlineStr">
        <is>
          <t>-</t>
        </is>
      </c>
      <c r="L34" s="16" t="n">
        <v>1</v>
      </c>
      <c r="M34" s="16" t="n">
        <v>2</v>
      </c>
      <c r="N34" s="16" t="n">
        <v>2</v>
      </c>
      <c r="O34" s="16">
        <f>L34+M34+N34</f>
        <v/>
      </c>
      <c r="P34" s="16" t="inlineStr">
        <is>
          <t>제외</t>
        </is>
      </c>
      <c r="Q34" s="16" t="inlineStr">
        <is>
          <t>-</t>
        </is>
      </c>
      <c r="R34" s="17" t="inlineStr">
        <is>
          <t>-</t>
        </is>
      </c>
      <c r="S34" s="17" t="inlineStr">
        <is>
          <t>-</t>
        </is>
      </c>
      <c r="T34" s="17" t="inlineStr">
        <is>
          <t>좋아요 수는 실측 있으나 줄었다고 해서 조직장이 무엇을 해야 하는지 정해지지 않아 제외(신호 3조건 중 '특정한 사람이 무언가를 해야 한다'가 빠짐)</t>
        </is>
      </c>
    </row>
    <row r="35" ht="74" customHeight="1">
      <c r="A35" s="14" t="n">
        <v>33</v>
      </c>
      <c r="B35" s="3" t="inlineStr">
        <is>
          <t>중간점검-팀장-05</t>
        </is>
      </c>
      <c r="C35" s="14" t="inlineStr">
        <is>
          <t>중간점검</t>
        </is>
      </c>
      <c r="D35" s="3" t="inlineStr">
        <is>
          <t>팀장(1차 평가자)</t>
        </is>
      </c>
      <c r="E35" s="14" t="inlineStr">
        <is>
          <t>T5 상황 변동</t>
        </is>
      </c>
      <c r="F35" s="3" t="inlineStr">
        <is>
          <t>그 팀원의 최근 점검 3회 중 2회 이상에 장애요인이 적혀 있고, 최근 14일 안에 그 팀원과의 1on1 기록이 없을 때</t>
        </is>
      </c>
      <c r="G35" s="14" t="inlineStr">
        <is>
          <t>없음</t>
        </is>
      </c>
      <c r="H35" s="3" t="inlineStr">
        <is>
          <t>점검의 장애요인 기록 여부와 작성일; 그 팀원과의 1on1 기록 유무와 날짜; 점검 회차 순서</t>
        </is>
      </c>
      <c r="I35" s="3" t="inlineStr">
        <is>
          <t>장애요인에 적힌 문장 2건; 해당 핵심결과의 진척률과 난이도 근거; 같은 장애요인이 걸린 다른 팀원 목표</t>
        </is>
      </c>
      <c r="J35" s="14" t="inlineStr">
        <is>
          <t>A4 면담</t>
        </is>
      </c>
      <c r="K35" s="3" t="inlineStr">
        <is>
          <t>일정 생성 + 이야기할 항목 기록(반복된 장애요인 2건·내가 내려야 할 결정·도와줄 사람) (1on1 기록 서버 보존 신설 필요)</t>
        </is>
      </c>
      <c r="L35" s="14" t="n">
        <v>3</v>
      </c>
      <c r="M35" s="14" t="n">
        <v>2</v>
      </c>
      <c r="N35" s="14" t="n">
        <v>3</v>
      </c>
      <c r="O35" s="14">
        <f>L35+M35+N35</f>
        <v/>
      </c>
      <c r="P35" s="14" t="inlineStr">
        <is>
          <t>고유</t>
        </is>
      </c>
      <c r="Q35" s="14" t="inlineStr">
        <is>
          <t>재알림 없음(1회)</t>
        </is>
      </c>
      <c r="R35" s="3" t="inlineStr">
        <is>
          <t>해당 없음</t>
        </is>
      </c>
      <c r="S35" s="3" t="inlineStr">
        <is>
          <t>1on1 일정이 저장되거나 이야기할 항목에 더해지면 즉시</t>
        </is>
      </c>
      <c r="T35" s="3" t="inlineStr">
        <is>
          <t>장애요인 채움률 70% 실측. 같은 팀원에게 1on1 카드(중간점검-팀장-03)가 이미 있으면 새 카드를 만들지 않고 그 카드의 이야기할 항목에만 더한다. 1on1 기록 서버 보존 신설 필요</t>
        </is>
      </c>
    </row>
    <row r="36" ht="74" customHeight="1">
      <c r="A36" s="14" t="n">
        <v>34</v>
      </c>
      <c r="B36" s="3" t="inlineStr">
        <is>
          <t>중간점검-상위조직장-01</t>
        </is>
      </c>
      <c r="C36" s="14" t="inlineStr">
        <is>
          <t>중간점검</t>
        </is>
      </c>
      <c r="D36" s="3" t="inlineStr">
        <is>
          <t>상위 조직장(2차 평가자)</t>
        </is>
      </c>
      <c r="E36" s="14" t="inlineStr">
        <is>
          <t>T1 기한 도래</t>
        </is>
      </c>
      <c r="F36" s="3" t="inlineStr">
        <is>
          <t>중간점검 마감일이 3일 이내로 남았고, 하위 팀 중 점검률이 30% 미만인 팀이 1개 이상일 때</t>
        </is>
      </c>
      <c r="G36" s="14" t="inlineStr">
        <is>
          <t>제도 기준값</t>
        </is>
      </c>
      <c r="H36" s="3" t="inlineStr">
        <is>
          <t>중간점검 기간의 마감일; 하위 팀별 핵심결과 건수; 팀별 점검 작성 건수와 작성일; 내 조직 평균 점검률</t>
        </is>
      </c>
      <c r="I36" s="3" t="inlineStr">
        <is>
          <t>팀별 점검률 표; 마감일까지 남은 일수; 점검이 없는 핵심결과 수; 메시지를 받을 1차 평가자 명단</t>
        </is>
      </c>
      <c r="J36" s="14" t="inlineStr">
        <is>
          <t>A3 전달</t>
        </is>
      </c>
      <c r="K36" s="3" t="inlineStr">
        <is>
          <t>메시지 기록 + 보냄·받음 기록 (알림 이력에 발송 결과 저장 — 서버 보존 신설 필요)</t>
        </is>
      </c>
      <c r="L36" s="14" t="n">
        <v>3</v>
      </c>
      <c r="M36" s="14" t="n">
        <v>3</v>
      </c>
      <c r="N36" s="14" t="n">
        <v>1</v>
      </c>
      <c r="O36" s="14">
        <f>L36+M36+N36</f>
        <v/>
      </c>
      <c r="P36" s="14" t="inlineStr">
        <is>
          <t>범용</t>
        </is>
      </c>
      <c r="Q36" s="14" t="inlineStr">
        <is>
          <t>3일</t>
        </is>
      </c>
      <c r="R36" s="3" t="inlineStr">
        <is>
          <t>3건 이상 또는 팀의 30% 이상</t>
        </is>
      </c>
      <c r="S36" s="3" t="inlineStr">
        <is>
          <t>해당 팀 점검률이 70% 이상이 되면 즉시</t>
        </is>
      </c>
      <c r="T36" s="3" t="inlineStr">
        <is>
          <t>중간점검 기간의 마감일을 담는 일정 마스터가 없음 — 신설 필요. 알림 조절: 팀원 개인 점검 독려는 1차가 먼저 하고, 2차에는 팀 합계만 올린다</t>
        </is>
      </c>
    </row>
    <row r="37" ht="74" customHeight="1">
      <c r="A37" s="14" t="n">
        <v>35</v>
      </c>
      <c r="B37" s="3" t="inlineStr">
        <is>
          <t>중간점검-상위조직장-02</t>
        </is>
      </c>
      <c r="C37" s="14" t="inlineStr">
        <is>
          <t>중간점검</t>
        </is>
      </c>
      <c r="D37" s="3" t="inlineStr">
        <is>
          <t>상위 조직장(2차 평가자)</t>
        </is>
      </c>
      <c r="E37" s="14" t="inlineStr">
        <is>
          <t>T2 작성 공백</t>
        </is>
      </c>
      <c r="F37" s="3" t="inlineStr">
        <is>
          <t>한 팀의 핵심결과 중 마지막 점검일이 21일 넘은 것이 팀의 30%를 넘고, 목표 기간이 아직 남아 있을 때</t>
        </is>
      </c>
      <c r="G37" s="14" t="inlineStr">
        <is>
          <t>팀 평균</t>
        </is>
      </c>
      <c r="H37" s="3" t="inlineStr">
        <is>
          <t>핵심결과별 마지막 점검 작성일; 팀별 핵심결과 건수; 목표 기간 종료일; 하위 팀별 평균 점검 간격</t>
        </is>
      </c>
      <c r="I37" s="3" t="inlineStr">
        <is>
          <t>팀별 점검 간격 비교; 멈춘 핵심결과 목록과 진척; 해당 팀장의 최근 1on1 기록 유무; 회의에서 다룰 항목 초안</t>
        </is>
      </c>
      <c r="J37" s="14" t="inlineStr">
        <is>
          <t>A4 면담</t>
        </is>
      </c>
      <c r="K37" s="3" t="inlineStr">
        <is>
          <t>일정 + 이야기할 항목 기록 (1차 평가자 검토 회의 기록 — 서버 보존 신설 필요)</t>
        </is>
      </c>
      <c r="L37" s="14" t="n">
        <v>3</v>
      </c>
      <c r="M37" s="14" t="n">
        <v>3</v>
      </c>
      <c r="N37" s="14" t="n">
        <v>2</v>
      </c>
      <c r="O37" s="14">
        <f>L37+M37+N37</f>
        <v/>
      </c>
      <c r="P37" s="14" t="inlineStr">
        <is>
          <t>고유</t>
        </is>
      </c>
      <c r="Q37" s="14" t="inlineStr">
        <is>
          <t>14일</t>
        </is>
      </c>
      <c r="R37" s="3" t="inlineStr">
        <is>
          <t>3건 이상 또는 팀의 30% 이상</t>
        </is>
      </c>
      <c r="S37" s="3" t="inlineStr">
        <is>
          <t>점검이 다시 작성되어 멈춘 비율이 30% 밑이 되면 즉시</t>
        </is>
      </c>
      <c r="T37" s="3" t="inlineStr">
        <is>
          <t>점검 작성일은 실측 존재(360건)로 확인 가능. 1on1·회의 기록이 브라우저 80건 롤링이라 서버 보존 신설 필요. 알림 조절: 같은 원인으로 1차에게 팀원별 점검 공백 알림이 먼저 뜬 뒤에만 2차 팀 합계 카드를 만든다</t>
        </is>
      </c>
    </row>
    <row r="38" ht="74" customHeight="1">
      <c r="A38" s="14" t="n">
        <v>36</v>
      </c>
      <c r="B38" s="3" t="inlineStr">
        <is>
          <t>중간점검-상위조직장-03</t>
        </is>
      </c>
      <c r="C38" s="14" t="inlineStr">
        <is>
          <t>중간점검</t>
        </is>
      </c>
      <c r="D38" s="3" t="inlineStr">
        <is>
          <t>상위 조직장(2차 평가자)</t>
        </is>
      </c>
      <c r="E38" s="14" t="inlineStr">
        <is>
          <t>T3 기준 이탈</t>
        </is>
      </c>
      <c r="F38" s="3" t="inlineStr">
        <is>
          <t>같은 기간에 하위 팀 사이 평균 진척 격차가 30%p 이상이고, 가장 낮은 팀이 기간 경과 대비 기대 진척보다 15%p 이상 아래일 때</t>
        </is>
      </c>
      <c r="G38" s="14" t="inlineStr">
        <is>
          <t>계획 대비</t>
        </is>
      </c>
      <c r="H38" s="3" t="inlineStr">
        <is>
          <t>하위 팀별 핵심결과 진척률; 목표 기간의 경과 비율; 핵심결과 가중치; 팀별 점검 작성률</t>
        </is>
      </c>
      <c r="I38" s="3" t="inlineStr">
        <is>
          <t>팀별 진척·점검률 비교표; 뒤처진 팀의 장애요인 코멘트; 지난 분기 같은 시점 비교; 요청 문구에 넣을 사실 묶음</t>
        </is>
      </c>
      <c r="J38" s="14" t="inlineStr">
        <is>
          <t>A6 요청</t>
        </is>
      </c>
      <c r="K38" s="3" t="inlineStr">
        <is>
          <t>요청 기록 + 승인 흐름 (목표 재조정 요청 이력 저장 위치 신설 필요)</t>
        </is>
      </c>
      <c r="L38" s="14" t="n">
        <v>3</v>
      </c>
      <c r="M38" s="14" t="n">
        <v>2</v>
      </c>
      <c r="N38" s="14" t="n">
        <v>3</v>
      </c>
      <c r="O38" s="14">
        <f>L38+M38+N38</f>
        <v/>
      </c>
      <c r="P38" s="14" t="inlineStr">
        <is>
          <t>고유</t>
        </is>
      </c>
      <c r="Q38" s="14" t="inlineStr">
        <is>
          <t>14일</t>
        </is>
      </c>
      <c r="R38" s="3" t="inlineStr">
        <is>
          <t>하위 팀 3개 이상, 각 팀 핵심결과 3건 이상일 때만 비교</t>
        </is>
      </c>
      <c r="S38" s="3" t="inlineStr">
        <is>
          <t>격차가 30%p 밑으로 줄거나 재조정 요청이 종결되면 즉시</t>
        </is>
      </c>
      <c r="T38" s="3" t="inlineStr">
        <is>
          <t>진척률·가중치는 실측 존재. 기간 경과 대비 기대 진척을 계산할 기간 일정 마스터가 없음 — 신설 필요. 알림 조절: 팀원 개인의 진척 저조는 1차에게만 뜨고, 2차에는 팀 평균 비교로만 올린다</t>
        </is>
      </c>
    </row>
    <row r="39" ht="74" customHeight="1">
      <c r="A39" s="14" t="n">
        <v>37</v>
      </c>
      <c r="B39" s="3" t="inlineStr">
        <is>
          <t>중간점검-상위조직장-04</t>
        </is>
      </c>
      <c r="C39" s="14" t="inlineStr">
        <is>
          <t>중간점검</t>
        </is>
      </c>
      <c r="D39" s="3" t="inlineStr">
        <is>
          <t>상위 조직장(2차 평가자)</t>
        </is>
      </c>
      <c r="E39" s="14" t="inlineStr">
        <is>
          <t>T4 연결 불일치</t>
        </is>
      </c>
      <c r="F39" s="3" t="inlineStr">
        <is>
          <t>하위 팀 평균 진척이 15%p 이상 올랐는데 같은 기간 내 조직 목표 진척이 5%p 미만으로 움직였을 때</t>
        </is>
      </c>
      <c r="G39" s="14" t="inlineStr">
        <is>
          <t>본인 예전 기록</t>
        </is>
      </c>
      <c r="H39" s="3" t="inlineStr">
        <is>
          <t>하위 팀 목표·핵심결과의 진척 스냅샷과 진척 증감; 내 조직 목표의 진척 증감; 목표 간 상하 연결관계; 전략과제 KPI 목표값·현재값</t>
        </is>
      </c>
      <c r="I39" s="3" t="inlineStr">
        <is>
          <t>하위 팀별 진척 기여도 표; 내 조직 목표의 핵심결과별 진척; 연결이 약한 하위 목표 목록; 회의에서 다룰 항목 초안</t>
        </is>
      </c>
      <c r="J39" s="14" t="inlineStr">
        <is>
          <t>A4 면담</t>
        </is>
      </c>
      <c r="K39" s="3" t="inlineStr">
        <is>
          <t>일정 + 이야기할 항목 기록 (목표 검토 회의 기록 — 서버 보존 신설 필요)</t>
        </is>
      </c>
      <c r="L39" s="14" t="n">
        <v>3</v>
      </c>
      <c r="M39" s="14" t="n">
        <v>2</v>
      </c>
      <c r="N39" s="14" t="n">
        <v>3</v>
      </c>
      <c r="O39" s="14">
        <f>L39+M39+N39</f>
        <v/>
      </c>
      <c r="P39" s="14" t="inlineStr">
        <is>
          <t>고유</t>
        </is>
      </c>
      <c r="Q39" s="14" t="inlineStr">
        <is>
          <t>14일</t>
        </is>
      </c>
      <c r="R39" s="3" t="inlineStr">
        <is>
          <t>하위 팀 3개 이상, 하위 핵심결과 5건 이상일 때만 비교</t>
        </is>
      </c>
      <c r="S39" s="3" t="inlineStr">
        <is>
          <t>회의 기록이 남거나 내 조직 목표 진척이 갱신되면 즉시</t>
        </is>
      </c>
      <c r="T39" s="3" t="inlineStr">
        <is>
          <t>진척 증감·전략과제 KPI는 실측 존재(전략과제 연결 100%). 하위 목표 진척이 상위 목표 진척에 반영되는 계산 규칙 확인 필요. 알림 조절: 이 카드는 2차 전용 — 상위 목표 소유자가 2차이므로 1차·구성원에는 만들지 않는다</t>
        </is>
      </c>
    </row>
    <row r="40" ht="74" customHeight="1">
      <c r="A40" s="14" t="n">
        <v>38</v>
      </c>
      <c r="B40" s="3" t="inlineStr">
        <is>
          <t>중간점검-상위조직장-05</t>
        </is>
      </c>
      <c r="C40" s="14" t="inlineStr">
        <is>
          <t>중간점검</t>
        </is>
      </c>
      <c r="D40" s="3" t="inlineStr">
        <is>
          <t>상위 조직장(2차 평가자)</t>
        </is>
      </c>
      <c r="E40" s="14" t="inlineStr">
        <is>
          <t>T5 상황 변동</t>
        </is>
      </c>
      <c r="F40" s="3" t="inlineStr">
        <is>
          <t>최근 14일 안에 올라온 점검의 장애요인이 서로 다른 팀 3곳 이상에서 같은 항목으로 3건 넘게 반복될 때</t>
        </is>
      </c>
      <c r="G40" s="14" t="inlineStr">
        <is>
          <t>본인 예전 기록</t>
        </is>
      </c>
      <c r="H40" s="3" t="inlineStr">
        <is>
          <t>점검의 장애요인 항목과 작성일; 점검 작성자의 소속 팀; 직전 같은 기간의 같은 항목 건수; 연결된 목표·핵심결과</t>
        </is>
      </c>
      <c r="I40" s="3" t="inlineStr">
        <is>
          <t>반복된 장애요인 원문 묶음; 영향받는 핵심결과와 진척; 팀별 발생 건수; 요청 문구에 넣을 사실 묶음</t>
        </is>
      </c>
      <c r="J40" s="14" t="inlineStr">
        <is>
          <t>A6 요청</t>
        </is>
      </c>
      <c r="K40" s="3" t="inlineStr">
        <is>
          <t>요청 기록 + 승인 흐름 (장애요인 해소 요청 이력 저장 위치 신설 필요)</t>
        </is>
      </c>
      <c r="L40" s="14" t="n">
        <v>3</v>
      </c>
      <c r="M40" s="14" t="n">
        <v>2</v>
      </c>
      <c r="N40" s="14" t="n">
        <v>3</v>
      </c>
      <c r="O40" s="14">
        <f>L40+M40+N40</f>
        <v/>
      </c>
      <c r="P40" s="14" t="inlineStr">
        <is>
          <t>고유</t>
        </is>
      </c>
      <c r="Q40" s="14" t="inlineStr">
        <is>
          <t>재알림 없음(1회)</t>
        </is>
      </c>
      <c r="R40" s="3" t="inlineStr">
        <is>
          <t>서로 다른 팀 3개 이상·3건 이상</t>
        </is>
      </c>
      <c r="S40" s="3" t="inlineStr">
        <is>
          <t>요청이 접수되거나 해당 장애요인 건수가 줄면 즉시</t>
        </is>
      </c>
      <c r="T40" s="3" t="inlineStr">
        <is>
          <t>장애요인 필드 채움률 70% 실측. 다만 자유서술이라 같은 항목으로 묶는 기준이 없음 — 장애요인 항목 코드 목록 신설 필요(규칙 판단의 전제). 알림 조절: 장애요인 1건은 1차가 먼저 처리하고, 여러 팀에 걸쳐 반복될 때만 2차로 올린다</t>
        </is>
      </c>
    </row>
    <row r="41" ht="74" customHeight="1">
      <c r="A41" s="14" t="n">
        <v>39</v>
      </c>
      <c r="B41" s="3" t="inlineStr">
        <is>
          <t>중간점검-HR경영진-01</t>
        </is>
      </c>
      <c r="C41" s="14" t="inlineStr">
        <is>
          <t>중간점검</t>
        </is>
      </c>
      <c r="D41" s="3" t="inlineStr">
        <is>
          <t>HR·경영진</t>
        </is>
      </c>
      <c r="E41" s="14" t="inlineStr">
        <is>
          <t>T1 기한 도래</t>
        </is>
      </c>
      <c r="F41" s="3" t="inlineStr">
        <is>
          <t>중간점검 기간이 절반 이상 지났고 전사 점검 참여율이 기간 경과율보다 10%p 이상 낮으며, 점검이 한 건도 없는 조직이 5개 이상일 때</t>
        </is>
      </c>
      <c r="G41" s="14" t="inlineStr">
        <is>
          <t>계획 대비</t>
        </is>
      </c>
      <c r="H41" s="3" t="inlineStr">
        <is>
          <t>중간점검 기간의 개시일·마감일; 점검 기록의 작성일과 작성자; 조직별 대상 인원수; 조직 목록</t>
        </is>
      </c>
      <c r="I41" s="3" t="inlineStr">
        <is>
          <t>조직별 점검 참여율; 점검 0건 조직 목록; 지난 분기 같은 시점 참여율</t>
        </is>
      </c>
      <c r="J41" s="14" t="inlineStr">
        <is>
          <t>A3 전달</t>
        </is>
      </c>
      <c r="K41" s="3" t="inlineStr">
        <is>
          <t>참여 독려 메시지 발송 기록(보냄·받음) + 조직별 참여율 갱신 — 알림 발송 기록 신설 필요</t>
        </is>
      </c>
      <c r="L41" s="14" t="n">
        <v>3</v>
      </c>
      <c r="M41" s="14" t="n">
        <v>3</v>
      </c>
      <c r="N41" s="14" t="n">
        <v>1</v>
      </c>
      <c r="O41" s="14">
        <f>L41+M41+N41</f>
        <v/>
      </c>
      <c r="P41" s="14" t="inlineStr">
        <is>
          <t>범용</t>
        </is>
      </c>
      <c r="Q41" s="14" t="inlineStr">
        <is>
          <t>3일</t>
        </is>
      </c>
      <c r="R41" s="3" t="inlineStr">
        <is>
          <t>조직·전사 합계 기준 점검 0건 조직 5개 이상 또는 전사 참여율이 기간 경과율보다 10%p 이상 낮을 때</t>
        </is>
      </c>
      <c r="S41" s="3" t="inlineStr">
        <is>
          <t>전사 참여율이 기간 경과율 수준으로 올라오거나 점검 기간이 끝나면</t>
        </is>
      </c>
      <c r="T41" s="3" t="inlineStr">
        <is>
          <t>중간점검 기간의 개시일·마감일을 담은 일정 마스터가 없어 신설 필요. 점검 360건에 작성일이 있어 참여율 집계는 가능. 팀장(1차 평가자)의 팀원별 점검 독려 카드가 먼저 떴다는 전제 아래 생성한다</t>
        </is>
      </c>
    </row>
    <row r="42" ht="74" customHeight="1">
      <c r="A42" s="14" t="n">
        <v>40</v>
      </c>
      <c r="B42" s="3" t="inlineStr">
        <is>
          <t>중간점검-HR경영진-02</t>
        </is>
      </c>
      <c r="C42" s="14" t="inlineStr">
        <is>
          <t>중간점검</t>
        </is>
      </c>
      <c r="D42" s="3" t="inlineStr">
        <is>
          <t>HR·경영진</t>
        </is>
      </c>
      <c r="E42" s="14" t="inlineStr">
        <is>
          <t>T3 기준 이탈</t>
        </is>
      </c>
      <c r="F42" s="3" t="inlineStr">
        <is>
          <t>한 조직의 목표 평균 진척률이 기간 경과율보다 30%p 이상 낮고, 대상 목표가 3건 이상이며 그 조직 인원의 20% 이상이 걸려 있을 때</t>
        </is>
      </c>
      <c r="G42" s="14" t="inlineStr">
        <is>
          <t>계획 대비</t>
        </is>
      </c>
      <c r="H42" s="3" t="inlineStr">
        <is>
          <t>목표·핵심결과의 진척률; 목표 기간의 개시일·마감일; 목표의 소속조직; 조직별 인원수</t>
        </is>
      </c>
      <c r="I42" s="3" t="inlineStr">
        <is>
          <t>조직별 진척과 기간 경과 비교; 진척이 멈춘 핵심결과 목록; 점검에 적힌 장애요인 유형 분포</t>
        </is>
      </c>
      <c r="J42" s="14" t="inlineStr">
        <is>
          <t>A3 전달</t>
        </is>
      </c>
      <c r="K42" s="3" t="inlineStr">
        <is>
          <t>안내 메시지 발송 기록(보냄·받음) + 조직별 보완 계획 회신 상태 — 알림 발송 기록 신설 필요</t>
        </is>
      </c>
      <c r="L42" s="14" t="n">
        <v>3</v>
      </c>
      <c r="M42" s="14" t="n">
        <v>2</v>
      </c>
      <c r="N42" s="14" t="n">
        <v>2</v>
      </c>
      <c r="O42" s="14">
        <f>L42+M42+N42</f>
        <v/>
      </c>
      <c r="P42" s="14" t="inlineStr">
        <is>
          <t>고유</t>
        </is>
      </c>
      <c r="Q42" s="14" t="inlineStr">
        <is>
          <t>14일</t>
        </is>
      </c>
      <c r="R42" s="3" t="inlineStr">
        <is>
          <t>조직·전사 합계 기준 조직당 대상 목표 3건 이상이며 그 조직 인원의 20% 이상</t>
        </is>
      </c>
      <c r="S42" s="3" t="inlineStr">
        <is>
          <t>해당 조직의 진척-기간 격차가 30%p 아래로 줄어들거나 보완 계획이 등록되면</t>
        </is>
      </c>
      <c r="T42" s="3" t="inlineStr">
        <is>
          <t>같은 원인으로 경영진용 카드(중간점검-HR경영진-03)가 함께 뜬다 — HR=점검·계획 보완 안내, 경영진=인력·자원 재배분 검토 요청. 팀장(1차 평가자)이 팀원별 진척 카드를 먼저 받는다는 전제. 점검 360건 중 70%에 장애요인이 있어 초안 근거로 쓸 수 있다</t>
        </is>
      </c>
    </row>
    <row r="43" ht="74" customHeight="1">
      <c r="A43" s="14" t="n">
        <v>41</v>
      </c>
      <c r="B43" s="3" t="inlineStr">
        <is>
          <t>중간점검-HR경영진-03</t>
        </is>
      </c>
      <c r="C43" s="14" t="inlineStr">
        <is>
          <t>중간점검</t>
        </is>
      </c>
      <c r="D43" s="3" t="inlineStr">
        <is>
          <t>HR·경영진</t>
        </is>
      </c>
      <c r="E43" s="14" t="inlineStr">
        <is>
          <t>T3 기준 이탈</t>
        </is>
      </c>
      <c r="F43" s="3" t="inlineStr">
        <is>
          <t>한 본부의 목표 평균 진척률이 기간 경과율보다 30%p 이상 낮고, 최근 8주 진척 증감 합계가 5%p 이하이며 대상 목표가 5건 이상일 때</t>
        </is>
      </c>
      <c r="G43" s="14" t="inlineStr">
        <is>
          <t>계획 대비</t>
        </is>
      </c>
      <c r="H43" s="3" t="inlineStr">
        <is>
          <t>목표 진척률과 점검의 진척 증감; 점검의 장애요인; 목표의 소속조직과 본부 구분; 조직별 인원수; 목표의 전략과제 연결</t>
        </is>
      </c>
      <c r="I43" s="3" t="inlineStr">
        <is>
          <t>본부별 진척 정체 구간; 장애요인 유형별 건수; 걸려 있는 전략과제와 과제별 KPI 현재값; 조직별 인원 배치</t>
        </is>
      </c>
      <c r="J43" s="14" t="inlineStr">
        <is>
          <t>A6 요청</t>
        </is>
      </c>
      <c r="K43" s="3" t="inlineStr">
        <is>
          <t>인력·자원 재배분 검토 요청 기록 + 승인·회신 흐름 — 요청 처리 이력 신설 필요</t>
        </is>
      </c>
      <c r="L43" s="14" t="n">
        <v>3</v>
      </c>
      <c r="M43" s="14" t="n">
        <v>2</v>
      </c>
      <c r="N43" s="14" t="n">
        <v>3</v>
      </c>
      <c r="O43" s="14">
        <f>L43+M43+N43</f>
        <v/>
      </c>
      <c r="P43" s="14" t="inlineStr">
        <is>
          <t>고유</t>
        </is>
      </c>
      <c r="Q43" s="14" t="inlineStr">
        <is>
          <t>14일</t>
        </is>
      </c>
      <c r="R43" s="3" t="inlineStr">
        <is>
          <t>조직·전사 합계 기준 본부당 대상 목표 5건 이상이며 정체 상태 구성원 5명 이상</t>
        </is>
      </c>
      <c r="S43" s="3" t="inlineStr">
        <is>
          <t>요청 회신이 등록되거나 진척-기간 격차가 30%p 아래로 줄어들면</t>
        </is>
      </c>
      <c r="T43" s="3" t="inlineStr">
        <is>
          <t>HR용 카드(중간점검-HR경영진-02)와 같은 원인을 쓰고 행동만 다르다. 두 카드가 함께 뜨므로 한쪽이 해소되면 다른 쪽 문구를 갱신한다. 점검의 진척 증감·확신도·장애요인은 실제 있으나 장애요인 유형 분류 체계는 확인 필요</t>
        </is>
      </c>
    </row>
    <row r="44" ht="74" customHeight="1">
      <c r="A44" s="14" t="n">
        <v>42</v>
      </c>
      <c r="B44" s="3" t="inlineStr">
        <is>
          <t>중간점검-HR경영진-04</t>
        </is>
      </c>
      <c r="C44" s="14" t="inlineStr">
        <is>
          <t>중간점검</t>
        </is>
      </c>
      <c r="D44" s="3" t="inlineStr">
        <is>
          <t>HR·경영진</t>
        </is>
      </c>
      <c r="E44" s="14" t="inlineStr">
        <is>
          <t>T4 연결 불일치</t>
        </is>
      </c>
      <c r="F44" s="3" t="inlineStr">
        <is>
          <t>하위 목표와 핵심결과의 진척은 4주 동안 15%p 이상 올랐는데 연결된 조직목표 진척은 5%p 미만 오른 조직이 3개 이상일 때</t>
        </is>
      </c>
      <c r="G44" s="14" t="inlineStr">
        <is>
          <t>본인 예전 기록</t>
        </is>
      </c>
      <c r="H44" s="3" t="inlineStr">
        <is>
          <t>목표 간 상하 연결 관계; 목표·핵심결과의 진척률 변화; 점검의 진척 증감과 작성일; 목표의 소속조직</t>
        </is>
      </c>
      <c r="I44" s="3" t="inlineStr">
        <is>
          <t>연결이 어긋난 목표 짝 목록; 조직목표의 측정 지표와 목표값; 하위 핵심결과의 직무 과업 참조</t>
        </is>
      </c>
      <c r="J44" s="14" t="inlineStr">
        <is>
          <t>A6 요청</t>
        </is>
      </c>
      <c r="K44" s="3" t="inlineStr">
        <is>
          <t>목표 구조 재정비 요청 기록 + 조직별 반영 상태와 수정 이력 — 요청 처리 이력 신설 필요</t>
        </is>
      </c>
      <c r="L44" s="14" t="n">
        <v>3</v>
      </c>
      <c r="M44" s="14" t="n">
        <v>2</v>
      </c>
      <c r="N44" s="14" t="n">
        <v>3</v>
      </c>
      <c r="O44" s="14">
        <f>L44+M44+N44</f>
        <v/>
      </c>
      <c r="P44" s="14" t="inlineStr">
        <is>
          <t>고유</t>
        </is>
      </c>
      <c r="Q44" s="14" t="inlineStr">
        <is>
          <t>14일</t>
        </is>
      </c>
      <c r="R44" s="3" t="inlineStr">
        <is>
          <t>조직·전사 합계 기준 어긋난 조직 3개 이상 또는 대상 조직목표 5건 이상</t>
        </is>
      </c>
      <c r="S44" s="3" t="inlineStr">
        <is>
          <t>조직목표 지표가 수정되거나 연결이 다시 맞춰지면</t>
        </is>
      </c>
      <c r="T44" s="3" t="inlineStr">
        <is>
          <t>목표 40건 중 개인 목표가 1건뿐이고 목표 소유자와 점검 작성자 일치율이 5.6%여서 조직목표-하위목표 진척 비교의 모수 정의 확인 필요. 상위목표 연결 95%·핵심결과의 직무 과업 참조 100%라 연결 판단 자체는 가능</t>
        </is>
      </c>
    </row>
    <row r="45" ht="74" customHeight="1">
      <c r="A45" s="14" t="n">
        <v>43</v>
      </c>
      <c r="B45" s="3" t="inlineStr">
        <is>
          <t>평가-구성원-01</t>
        </is>
      </c>
      <c r="C45" s="14" t="inlineStr">
        <is>
          <t>평가</t>
        </is>
      </c>
      <c r="D45" s="3" t="inlineStr">
        <is>
          <t>구성원</t>
        </is>
      </c>
      <c r="E45" s="14" t="inlineStr">
        <is>
          <t>T1 기한 도래</t>
        </is>
      </c>
      <c r="F45" s="3" t="inlineStr">
        <is>
          <t>자기평가 마감일까지 5일 이하로 남았고, 내 자기평가가 제출된 기록이 없을 때</t>
        </is>
      </c>
      <c r="G45" s="14" t="inlineStr">
        <is>
          <t>제도 기준값</t>
        </is>
      </c>
      <c r="H45" s="3" t="inlineStr">
        <is>
          <t>평가 기간 일정의 자기평가 마감일; 내 자기평가 제출 상태; 오늘 날짜</t>
        </is>
      </c>
      <c r="I45" s="3" t="inlineStr">
        <is>
          <t>평가 기간 안에 내가 쓴 점검 기록; 핵심결과별 달성 수치; 목표별 가중치와 난이도 근거</t>
        </is>
      </c>
      <c r="J45" s="14" t="inlineStr">
        <is>
          <t>A1 작성</t>
        </is>
      </c>
      <c r="K45" s="3" t="inlineStr">
        <is>
          <t>자기평가 기록 신규 생성 (저장 위치 신설 필요)</t>
        </is>
      </c>
      <c r="L45" s="14" t="n">
        <v>3</v>
      </c>
      <c r="M45" s="14" t="n">
        <v>3</v>
      </c>
      <c r="N45" s="14" t="n">
        <v>1</v>
      </c>
      <c r="O45" s="14">
        <f>L45+M45+N45</f>
        <v/>
      </c>
      <c r="P45" s="14" t="inlineStr">
        <is>
          <t>범용</t>
        </is>
      </c>
      <c r="Q45" s="14" t="inlineStr">
        <is>
          <t>3일</t>
        </is>
      </c>
      <c r="R45" s="3" t="inlineStr">
        <is>
          <t>해당 없음</t>
        </is>
      </c>
      <c r="S45" s="3" t="inlineStr">
        <is>
          <t>자기평가를 제출하면 즉시</t>
        </is>
      </c>
      <c r="T45" s="3" t="inlineStr">
        <is>
          <t>자기평가가 현재 임시 저장(탭 종료 시 소멸)뿐이라 제출 기록 저장 위치 신설이 전제. 평가 기간 일정 마스터도 없어 마감일 원천 확인 필요</t>
        </is>
      </c>
    </row>
    <row r="46" ht="74" customHeight="1">
      <c r="A46" s="14" t="n">
        <v>44</v>
      </c>
      <c r="B46" s="3" t="inlineStr">
        <is>
          <t>평가-구성원-02</t>
        </is>
      </c>
      <c r="C46" s="14" t="inlineStr">
        <is>
          <t>평가</t>
        </is>
      </c>
      <c r="D46" s="3" t="inlineStr">
        <is>
          <t>구성원</t>
        </is>
      </c>
      <c r="E46" s="14" t="inlineStr">
        <is>
          <t>T2 작성 공백</t>
        </is>
      </c>
      <c r="F46" s="3" t="inlineStr">
        <is>
          <t>평가 기간이 절반 넘게 지났는데 그 기간에 내가 쓴 점검이 2건 이하일 때</t>
        </is>
      </c>
      <c r="G46" s="14" t="inlineStr">
        <is>
          <t>팀 평균</t>
        </is>
      </c>
      <c r="H46" s="3" t="inlineStr">
        <is>
          <t>평가 대상 기간의 시작일과 종료일; 기간 안에 내가 쓴 점검 건수; 같은 팀의 1인당 점검 건수</t>
        </is>
      </c>
      <c r="I46" s="3" t="inlineStr">
        <is>
          <t>핵심결과별 목표값과 현재값; 진척 변동 기록; 직무 과업별 내가 맡은 내용</t>
        </is>
      </c>
      <c r="J46" s="14" t="inlineStr">
        <is>
          <t>A1 작성</t>
        </is>
      </c>
      <c r="K46" s="3" t="inlineStr">
        <is>
          <t>체크인 기록 신규 생성</t>
        </is>
      </c>
      <c r="L46" s="14" t="n">
        <v>3</v>
      </c>
      <c r="M46" s="14" t="n">
        <v>2</v>
      </c>
      <c r="N46" s="14" t="n">
        <v>2</v>
      </c>
      <c r="O46" s="14">
        <f>L46+M46+N46</f>
        <v/>
      </c>
      <c r="P46" s="14" t="inlineStr">
        <is>
          <t>고유</t>
        </is>
      </c>
      <c r="Q46" s="14" t="inlineStr">
        <is>
          <t>7일</t>
        </is>
      </c>
      <c r="R46" s="3" t="inlineStr">
        <is>
          <t>해당 없음</t>
        </is>
      </c>
      <c r="S46" s="3" t="inlineStr">
        <is>
          <t>점검을 2건 이상 저장하면 즉시</t>
        </is>
      </c>
      <c r="T46" s="3" t="inlineStr">
        <is>
          <t>점검 건수·작성자·작성일은 실측 확인(360건). 평가 기간의 시작·종료 날짜는 일정 마스터 확인 필요. 중간점검 단계의 T2와 원인이 겹치므로 평가 기간 개시 이후에만 이 신호를 쓰고 그 전에는 중간점검 쪽으로 넘김</t>
        </is>
      </c>
    </row>
    <row r="47" ht="28" customHeight="1">
      <c r="A47" s="16" t="n">
        <v>45</v>
      </c>
      <c r="B47" s="17" t="inlineStr">
        <is>
          <t>평가-구성원-03</t>
        </is>
      </c>
      <c r="C47" s="16" t="inlineStr">
        <is>
          <t>평가</t>
        </is>
      </c>
      <c r="D47" s="17" t="inlineStr">
        <is>
          <t>구성원</t>
        </is>
      </c>
      <c r="E47" s="16" t="inlineStr">
        <is>
          <t>T3 기준 이탈</t>
        </is>
      </c>
      <c r="F47" s="17" t="inlineStr">
        <is>
          <t>-</t>
        </is>
      </c>
      <c r="G47" s="16" t="inlineStr">
        <is>
          <t>없음</t>
        </is>
      </c>
      <c r="H47" s="17" t="inlineStr">
        <is>
          <t>-</t>
        </is>
      </c>
      <c r="I47" s="17" t="inlineStr">
        <is>
          <t>-</t>
        </is>
      </c>
      <c r="J47" s="16" t="inlineStr">
        <is>
          <t>-</t>
        </is>
      </c>
      <c r="K47" s="17" t="inlineStr">
        <is>
          <t>-</t>
        </is>
      </c>
      <c r="L47" s="16" t="n">
        <v>1</v>
      </c>
      <c r="M47" s="16" t="n">
        <v>2</v>
      </c>
      <c r="N47" s="16" t="n">
        <v>2</v>
      </c>
      <c r="O47" s="16">
        <f>L47+M47+N47</f>
        <v/>
      </c>
      <c r="P47" s="16" t="inlineStr">
        <is>
          <t>제외</t>
        </is>
      </c>
      <c r="Q47" s="16" t="inlineStr">
        <is>
          <t>-</t>
        </is>
      </c>
      <c r="R47" s="17" t="inlineStr">
        <is>
          <t>-</t>
        </is>
      </c>
      <c r="S47" s="17" t="inlineStr">
        <is>
          <t>-</t>
        </is>
      </c>
      <c r="T47" s="17" t="inlineStr">
        <is>
          <t>살펴본 기록으로만 남김. 확정 전 점수와 타인 평균 노출은 제도상 불가하고, 점수를 두고 본인이 할 수 있는 행동이 없어 제외(신호 3조건 중 ② 불충족). 등급 확정 후 결과 안내는 알림이 아니라 화면 조회로 처리. 등급 분포 이탈은 HR·경영진 칸에서 다룸</t>
        </is>
      </c>
    </row>
    <row r="48" ht="74" customHeight="1">
      <c r="A48" s="14" t="n">
        <v>46</v>
      </c>
      <c r="B48" s="3" t="inlineStr">
        <is>
          <t>평가-구성원-04</t>
        </is>
      </c>
      <c r="C48" s="14" t="inlineStr">
        <is>
          <t>평가</t>
        </is>
      </c>
      <c r="D48" s="3" t="inlineStr">
        <is>
          <t>구성원</t>
        </is>
      </c>
      <c r="E48" s="14" t="inlineStr">
        <is>
          <t>T4 연결 불일치</t>
        </is>
      </c>
      <c r="F48" s="3" t="inlineStr">
        <is>
          <t>자기평가에 적은 달성 수준이 같은 핵심결과의 실제 진척률과 30%포인트 이상 차이 날 때</t>
        </is>
      </c>
      <c r="G48" s="14" t="inlineStr">
        <is>
          <t>계획 대비</t>
        </is>
      </c>
      <c r="H48" s="3" t="inlineStr">
        <is>
          <t>자기평가에 적은 항목별 달성 수준; 핵심결과의 목표값·현재값·진척률; 핵심결과 가중치</t>
        </is>
      </c>
      <c r="I48" s="3" t="inlineStr">
        <is>
          <t>핵심결과별 진척 기록과 점검 코멘트; 장애요인 기록; 난이도와 난이도 근거</t>
        </is>
      </c>
      <c r="J48" s="14" t="inlineStr">
        <is>
          <t>A2 수정</t>
        </is>
      </c>
      <c r="K48" s="3" t="inlineStr">
        <is>
          <t>자기평가 기록 수정 + 수정 이력 (저장 위치 신설 필요)</t>
        </is>
      </c>
      <c r="L48" s="14" t="n">
        <v>3</v>
      </c>
      <c r="M48" s="14" t="n">
        <v>2</v>
      </c>
      <c r="N48" s="14" t="n">
        <v>3</v>
      </c>
      <c r="O48" s="14">
        <f>L48+M48+N48</f>
        <v/>
      </c>
      <c r="P48" s="14" t="inlineStr">
        <is>
          <t>고유</t>
        </is>
      </c>
      <c r="Q48" s="14" t="inlineStr">
        <is>
          <t>7일</t>
        </is>
      </c>
      <c r="R48" s="3" t="inlineStr">
        <is>
          <t>해당 없음</t>
        </is>
      </c>
      <c r="S48" s="3" t="inlineStr">
        <is>
          <t>자기평가를 다시 저장하면 즉시</t>
        </is>
      </c>
      <c r="T48" s="3" t="inlineStr">
        <is>
          <t>핵심결과 진척·가중치·난이도 근거(98.6%)는 실측 확인. 자기평가 제출 저장이 임시 저장뿐이라 비교할 원천이 없음 — 자기평가 저장 위치 신설이 전제. 같은 불일치를 팀장(1차 평가자)도 볼 수 있으므로 본인이 먼저 고칠 기회를 갖도록 1차 알림은 자기평가 제출 확정 이후로 미룸</t>
        </is>
      </c>
    </row>
    <row r="49" ht="74" customHeight="1">
      <c r="A49" s="14" t="n">
        <v>47</v>
      </c>
      <c r="B49" s="3" t="inlineStr">
        <is>
          <t>평가-구성원-05</t>
        </is>
      </c>
      <c r="C49" s="14" t="inlineStr">
        <is>
          <t>평가</t>
        </is>
      </c>
      <c r="D49" s="3" t="inlineStr">
        <is>
          <t>구성원</t>
        </is>
      </c>
      <c r="E49" s="14" t="inlineStr">
        <is>
          <t>T5 상황 변동</t>
        </is>
      </c>
      <c r="F49" s="3" t="inlineStr">
        <is>
          <t>평가 기간이 끝나기 전에 소속 조직이 바뀌어 1차 평가자가 달라졌고, 이전 조직에서 일한 기간이 평가 기간의 30% 이상일 때</t>
        </is>
      </c>
      <c r="G49" s="14" t="inlineStr">
        <is>
          <t>없음</t>
        </is>
      </c>
      <c r="H49" s="3" t="inlineStr">
        <is>
          <t>발령·조직 이동 이력의 이동일; 이동 전·후 조직의 조직장 사번; 평가 기간의 시작일과 종료일</t>
        </is>
      </c>
      <c r="I49" s="3" t="inlineStr">
        <is>
          <t>이전 조직에서 쓴 점검과 달성 수치; 이전 조직 목표의 진척; 기간별로 맡았던 과업</t>
        </is>
      </c>
      <c r="J49" s="14" t="inlineStr">
        <is>
          <t>A3 전달</t>
        </is>
      </c>
      <c r="K49" s="3" t="inlineStr">
        <is>
          <t>메시지 기록 + 보냄·받음 기록, 평가 참고 자료로 첨부</t>
        </is>
      </c>
      <c r="L49" s="14" t="n">
        <v>3</v>
      </c>
      <c r="M49" s="14" t="n">
        <v>1</v>
      </c>
      <c r="N49" s="14" t="n">
        <v>3</v>
      </c>
      <c r="O49" s="14">
        <f>L49+M49+N49</f>
        <v/>
      </c>
      <c r="P49" s="14" t="inlineStr">
        <is>
          <t>고유</t>
        </is>
      </c>
      <c r="Q49" s="14" t="inlineStr">
        <is>
          <t>재알림 없음(1회)</t>
        </is>
      </c>
      <c r="R49" s="3" t="inlineStr">
        <is>
          <t>해당 없음</t>
        </is>
      </c>
      <c r="S49" s="3" t="inlineStr">
        <is>
          <t>요약을 보내면 즉시</t>
        </is>
      </c>
      <c r="T49" s="3" t="inlineStr">
        <is>
          <t>상위자 사번은 99.5% 실측이나, 평가 레코드에 1차·2차 평가자 매핑과 제출 시각이 없어 '평가자 변경' 확인 불가 — 평가자 매핑 신설이 전제. 발령 이력 채움률 0.5%도 함께 확인 필요. 팀장(1차 평가자)에게도 '기간 중 합류한 팀원' 알림이 필요하므로 짝으로 설계</t>
        </is>
      </c>
    </row>
    <row r="50" ht="74" customHeight="1">
      <c r="A50" s="14" t="n">
        <v>48</v>
      </c>
      <c r="B50" s="3" t="inlineStr">
        <is>
          <t>평가-팀장-01</t>
        </is>
      </c>
      <c r="C50" s="14" t="inlineStr">
        <is>
          <t>평가</t>
        </is>
      </c>
      <c r="D50" s="3" t="inlineStr">
        <is>
          <t>팀장(1차 평가자)</t>
        </is>
      </c>
      <c r="E50" s="14" t="inlineStr">
        <is>
          <t>T1 기한 도래</t>
        </is>
      </c>
      <c r="F50" s="3" t="inlineStr">
        <is>
          <t>1차 평가 마감일까지 3일 이하로 남았고, 그 팀원의 1차 평가가 아직 작성되지 않았을 때</t>
        </is>
      </c>
      <c r="G50" s="14" t="inlineStr">
        <is>
          <t>제도 기준값</t>
        </is>
      </c>
      <c r="H50" s="3" t="inlineStr">
        <is>
          <t>평가 기간의 마감일; 1차 평가자별 담당 팀원 명단; 팀원별 1차 평가 작성 여부</t>
        </is>
      </c>
      <c r="I50" s="3" t="inlineStr">
        <is>
          <t>그 팀원 목표·핵심결과의 가중 달성률; 이번 기간 점검 문장과 장애요인; 동료 리뷰 강점·개발 코멘트; 3요소 원점수</t>
        </is>
      </c>
      <c r="J50" s="14" t="inlineStr">
        <is>
          <t>A1 작성</t>
        </is>
      </c>
      <c r="K50" s="3" t="inlineStr">
        <is>
          <t>그 팀원의 1차 평가 기록 신규 생성(초안 상태) + 근거 요약문 저장</t>
        </is>
      </c>
      <c r="L50" s="14" t="n">
        <v>3</v>
      </c>
      <c r="M50" s="14" t="n">
        <v>3</v>
      </c>
      <c r="N50" s="14" t="n">
        <v>1</v>
      </c>
      <c r="O50" s="14">
        <f>L50+M50+N50</f>
        <v/>
      </c>
      <c r="P50" s="14" t="inlineStr">
        <is>
          <t>범용</t>
        </is>
      </c>
      <c r="Q50" s="14" t="inlineStr">
        <is>
          <t>3일</t>
        </is>
      </c>
      <c r="R50" s="3" t="inlineStr">
        <is>
          <t>해당 없음</t>
        </is>
      </c>
      <c r="S50" s="3" t="inlineStr">
        <is>
          <t>그 팀원의 1차 평가를 저장하면 즉시</t>
        </is>
      </c>
      <c r="T50" s="3" t="inlineStr">
        <is>
          <t>평가자 매핑(1차·2차)과 제출 시각·제출 상태가 평가 레코드에 없음 — 이 신호와 상위 조직장(2차 평가자) 신호 전체의 전제이므로 신설 확인 필요. 평가 기간 일정 마스터도 없음</t>
        </is>
      </c>
    </row>
    <row r="51" ht="74" customHeight="1">
      <c r="A51" s="14" t="n">
        <v>49</v>
      </c>
      <c r="B51" s="3" t="inlineStr">
        <is>
          <t>평가-팀장-02</t>
        </is>
      </c>
      <c r="C51" s="14" t="inlineStr">
        <is>
          <t>평가</t>
        </is>
      </c>
      <c r="D51" s="3" t="inlineStr">
        <is>
          <t>팀장(1차 평가자)</t>
        </is>
      </c>
      <c r="E51" s="14" t="inlineStr">
        <is>
          <t>T3 기준 이탈</t>
        </is>
      </c>
      <c r="F51" s="3" t="inlineStr">
        <is>
          <t>1차 평가 마감 14일 전 시점에 그 팀원의 이번 기간 점검이 3건 이하이고 같은 팀 평균의 절반에 못 미칠 때</t>
        </is>
      </c>
      <c r="G51" s="14" t="inlineStr">
        <is>
          <t>팀 평균</t>
        </is>
      </c>
      <c r="H51" s="3" t="inlineStr">
        <is>
          <t>팀원별 이번 기간 점검 건수; 같은 팀 점검 건수 평균; 그 팀원 동료 리뷰 건수; 1차 평가 마감일</t>
        </is>
      </c>
      <c r="I51" s="3" t="inlineStr">
        <is>
          <t>그 팀원 핵심결과의 목표값·현재값; 남아 있는 점검 문장; 직무프로파일 과업 대비 진행한 항목</t>
        </is>
      </c>
      <c r="J51" s="14" t="inlineStr">
        <is>
          <t>A3 전달</t>
        </is>
      </c>
      <c r="K51" s="3" t="inlineStr">
        <is>
          <t>메시지 기록 + 보냄·받음 기록 생성 (알림·메시지 발송·열람 기록 저장 위치 신설 필요)</t>
        </is>
      </c>
      <c r="L51" s="14" t="n">
        <v>3</v>
      </c>
      <c r="M51" s="14" t="n">
        <v>2</v>
      </c>
      <c r="N51" s="14" t="n">
        <v>2</v>
      </c>
      <c r="O51" s="14">
        <f>L51+M51+N51</f>
        <v/>
      </c>
      <c r="P51" s="14" t="inlineStr">
        <is>
          <t>고유</t>
        </is>
      </c>
      <c r="Q51" s="14" t="inlineStr">
        <is>
          <t>7일</t>
        </is>
      </c>
      <c r="R51" s="3" t="inlineStr">
        <is>
          <t>해당 없음</t>
        </is>
      </c>
      <c r="S51" s="3" t="inlineStr">
        <is>
          <t>그 팀원의 새 점검이 1건 저장되면 즉시</t>
        </is>
      </c>
      <c r="T51" s="3" t="inlineStr">
        <is>
          <t>점검 건수는 실측 확인됨. 동료 리뷰는 13명 한정이어서 0건이 흔하므로 판단은 점검 건수만으로 할지 확인 필요</t>
        </is>
      </c>
    </row>
    <row r="52" ht="74" customHeight="1">
      <c r="A52" s="14" t="n">
        <v>50</v>
      </c>
      <c r="B52" s="3" t="inlineStr">
        <is>
          <t>평가-팀장-03</t>
        </is>
      </c>
      <c r="C52" s="14" t="inlineStr">
        <is>
          <t>평가</t>
        </is>
      </c>
      <c r="D52" s="3" t="inlineStr">
        <is>
          <t>팀장(1차 평가자)</t>
        </is>
      </c>
      <c r="E52" s="14" t="inlineStr">
        <is>
          <t>T4 연결 불일치</t>
        </is>
      </c>
      <c r="F52" s="3" t="inlineStr">
        <is>
          <t>그 팀원에게 준 등급이 같은 팀 같은 등급의 평균 달성률보다 20%p 이상 낮은데 근거 요약문에 그 이유가 적혀 있지 않을 때</t>
        </is>
      </c>
      <c r="G52" s="14" t="inlineStr">
        <is>
          <t>팀 평균</t>
        </is>
      </c>
      <c r="H52" s="3" t="inlineStr">
        <is>
          <t>1차 평가 등급과 종합점수; 목표·핵심결과의 가중 달성률; 같은 팀 등급별 달성률 분포; 근거 요약문 본문</t>
        </is>
      </c>
      <c r="I52" s="3" t="inlineStr">
        <is>
          <t>그 팀원 점검 문장과 장애요인; 동료 리뷰 강점·개발 코멘트; 3요소 정규화점수; 핵심결과 난이도 근거</t>
        </is>
      </c>
      <c r="J52" s="14" t="inlineStr">
        <is>
          <t>A2 수정</t>
        </is>
      </c>
      <c r="K52" s="3" t="inlineStr">
        <is>
          <t>그 팀원 1차 평가의 근거 요약문·등급 수정 + 수정 이력 기록 (평가 수정 이력 저장 위치 신설 필요)</t>
        </is>
      </c>
      <c r="L52" s="14" t="n">
        <v>3</v>
      </c>
      <c r="M52" s="14" t="n">
        <v>2</v>
      </c>
      <c r="N52" s="14" t="n">
        <v>3</v>
      </c>
      <c r="O52" s="14">
        <f>L52+M52+N52</f>
        <v/>
      </c>
      <c r="P52" s="14" t="inlineStr">
        <is>
          <t>고유</t>
        </is>
      </c>
      <c r="Q52" s="14" t="inlineStr">
        <is>
          <t>7일</t>
        </is>
      </c>
      <c r="R52" s="3" t="inlineStr">
        <is>
          <t>해당 없음</t>
        </is>
      </c>
      <c r="S52" s="3" t="inlineStr">
        <is>
          <t>근거 요약문이나 등급을 저장하면 즉시</t>
        </is>
      </c>
      <c r="T52" s="3" t="inlineStr">
        <is>
          <t>등급·종합점수·근거 요약문·가중치·난이도는 실측 확인됨. 근거 요약문에 이유가 적혀 있는지를 규칙만으로 가리기 어려워 '적혀 있지 않음'을 무엇으로 볼지 확인 필요(난이도 근거 인용 여부 등). 평가 수정 이력 저장 위치 없음. 같은 원인의 상위 조직장(2차 평가자) 카드보다 7일 먼저 1차에 알린다</t>
        </is>
      </c>
    </row>
    <row r="53" ht="74" customHeight="1">
      <c r="A53" s="14" t="n">
        <v>51</v>
      </c>
      <c r="B53" s="3" t="inlineStr">
        <is>
          <t>평가-팀장-04</t>
        </is>
      </c>
      <c r="C53" s="14" t="inlineStr">
        <is>
          <t>평가</t>
        </is>
      </c>
      <c r="D53" s="3" t="inlineStr">
        <is>
          <t>팀장(1차 평가자)</t>
        </is>
      </c>
      <c r="E53" s="14" t="inlineStr">
        <is>
          <t>T5 상황 변동</t>
        </is>
      </c>
      <c r="F53" s="3" t="inlineStr">
        <is>
          <t>그 팀원이 평가 대상 기간 중에 우리 팀으로 옮겨 왔고, 옮겨 오기 전 기간이 평가 대상 기간의 50% 이상일 때</t>
        </is>
      </c>
      <c r="G53" s="14" t="inlineStr">
        <is>
          <t>없음</t>
        </is>
      </c>
      <c r="H53" s="3" t="inlineStr">
        <is>
          <t>발령·소속조직 변경 이력과 변경일; 평가 대상 기간; 이전 조직의 조직장 사번; 점검이 작성된 시점의 소속조직</t>
        </is>
      </c>
      <c r="I53" s="3" t="inlineStr">
        <is>
          <t>이전 조직에서 쓴 목표·점검 문장; 이전 기간의 진척률과 확신도; 과거 평가 이력의 등급·점수</t>
        </is>
      </c>
      <c r="J53" s="14" t="inlineStr">
        <is>
          <t>A3 전달</t>
        </is>
      </c>
      <c r="K53" s="3" t="inlineStr">
        <is>
          <t>요청 메시지 기록 + 받은 근거를 그 팀원 평가에 붙여 두기 (평가에 외부 근거를 붙이는 저장 위치 신설 필요)</t>
        </is>
      </c>
      <c r="L53" s="14" t="n">
        <v>3</v>
      </c>
      <c r="M53" s="14" t="n">
        <v>1</v>
      </c>
      <c r="N53" s="14" t="n">
        <v>3</v>
      </c>
      <c r="O53" s="14">
        <f>L53+M53+N53</f>
        <v/>
      </c>
      <c r="P53" s="14" t="inlineStr">
        <is>
          <t>고유</t>
        </is>
      </c>
      <c r="Q53" s="14" t="inlineStr">
        <is>
          <t>재알림 없음(1회)</t>
        </is>
      </c>
      <c r="R53" s="3" t="inlineStr">
        <is>
          <t>해당 없음</t>
        </is>
      </c>
      <c r="S53" s="3" t="inlineStr">
        <is>
          <t>이전 조직장의 답이 도착하거나 조직장이 요청을 접으면 즉시</t>
        </is>
      </c>
      <c r="T53" s="3" t="inlineStr">
        <is>
          <t>발령·직무이동 이력 채움률 0.5% — 휴넬·JaDE 발령 원천 연동이 전제. 이전 조직의 조직장 사번은 조직 38개 데이터에 있어 특정 가능. 받은 근거를 평가에 붙여 두는 저장 위치가 없음</t>
        </is>
      </c>
    </row>
    <row r="54" ht="74" customHeight="1">
      <c r="A54" s="14" t="n">
        <v>52</v>
      </c>
      <c r="B54" s="3" t="inlineStr">
        <is>
          <t>평가-상위조직장-01</t>
        </is>
      </c>
      <c r="C54" s="14" t="inlineStr">
        <is>
          <t>평가</t>
        </is>
      </c>
      <c r="D54" s="3" t="inlineStr">
        <is>
          <t>상위 조직장(2차 평가자)</t>
        </is>
      </c>
      <c r="E54" s="14" t="inlineStr">
        <is>
          <t>T1 기한 도래</t>
        </is>
      </c>
      <c r="F54" s="3" t="inlineStr">
        <is>
          <t>1차 평가 마감일이 3일 이내로 남았고, 하위 팀 중 평가 제출률이 50% 미만인 팀이 1개 이상일 때</t>
        </is>
      </c>
      <c r="G54" s="14" t="inlineStr">
        <is>
          <t>제도 기준값</t>
        </is>
      </c>
      <c r="H54" s="3" t="inlineStr">
        <is>
          <t>평가 기간의 마감일; 1차 평가자별 담당 팀원 명단; 평가 레코드의 제출 상태와 제출 시각; 팀별 제출률</t>
        </is>
      </c>
      <c r="I54" s="3" t="inlineStr">
        <is>
          <t>팀별 제출률 표; 마감일까지 남은 일수; 미제출 팀원 수; 메시지를 받을 1차 평가자 명단</t>
        </is>
      </c>
      <c r="J54" s="14" t="inlineStr">
        <is>
          <t>A3 전달</t>
        </is>
      </c>
      <c r="K54" s="3" t="inlineStr">
        <is>
          <t>메시지 기록 + 보냄·받음 기록 (알림 이력에 발송 결과 저장 — 서버 보존 신설 필요)</t>
        </is>
      </c>
      <c r="L54" s="14" t="n">
        <v>3</v>
      </c>
      <c r="M54" s="14" t="n">
        <v>3</v>
      </c>
      <c r="N54" s="14" t="n">
        <v>1</v>
      </c>
      <c r="O54" s="14">
        <f>L54+M54+N54</f>
        <v/>
      </c>
      <c r="P54" s="14" t="inlineStr">
        <is>
          <t>범용</t>
        </is>
      </c>
      <c r="Q54" s="14" t="inlineStr">
        <is>
          <t>3일</t>
        </is>
      </c>
      <c r="R54" s="3" t="inlineStr">
        <is>
          <t>3건 이상 또는 팀의 30% 이상</t>
        </is>
      </c>
      <c r="S54" s="3" t="inlineStr">
        <is>
          <t>해당 팀 제출률이 100%가 되면 즉시</t>
        </is>
      </c>
      <c r="T54" s="3" t="inlineStr">
        <is>
          <t>평가자 매핑(1차·2차)과 제출 상태·제출 시각이 평가 레코드에 없음 — 상위 조직장(2차 평가자) 신호 전체의 전제, 신설 필요. 평가 기간 일정 마스터도 없음 — 신설 필요. 알림 조절: 팀원별 미제출 독려는 1차가 하고, 2차에는 평가자·팀 단위 제출률로만 올린다</t>
        </is>
      </c>
    </row>
    <row r="55" ht="74" customHeight="1">
      <c r="A55" s="14" t="n">
        <v>53</v>
      </c>
      <c r="B55" s="3" t="inlineStr">
        <is>
          <t>평가-상위조직장-02</t>
        </is>
      </c>
      <c r="C55" s="14" t="inlineStr">
        <is>
          <t>평가</t>
        </is>
      </c>
      <c r="D55" s="3" t="inlineStr">
        <is>
          <t>상위 조직장(2차 평가자)</t>
        </is>
      </c>
      <c r="E55" s="14" t="inlineStr">
        <is>
          <t>T2 작성 공백</t>
        </is>
      </c>
      <c r="F55" s="3" t="inlineStr">
        <is>
          <t>한 1차 평가자가 제출한 평가 중 근거 문장이 40자 미만이거나 비어 있는 것이 3건 이상이고 담당 팀원의 30%를 넘을 때</t>
        </is>
      </c>
      <c r="G55" s="14" t="inlineStr">
        <is>
          <t>팀 평균</t>
        </is>
      </c>
      <c r="H55" s="3" t="inlineStr">
        <is>
          <t>평가별 근거 요약문의 길이와 작성 여부; 1차 평가자별 담당 팀원 수; 내 조직 평균 근거 길이; 평가 제출 상태</t>
        </is>
      </c>
      <c r="I55" s="3" t="inlineStr">
        <is>
          <t>근거가 짧은 평가 목록; 해당 팀원의 목표 진척·점검 코멘트·핵심결과 달성값; 근거로 쓸 수 있는 사실 묶음; 요청 문구 초안</t>
        </is>
      </c>
      <c r="J55" s="14" t="inlineStr">
        <is>
          <t>A6 요청</t>
        </is>
      </c>
      <c r="K55" s="3" t="inlineStr">
        <is>
          <t>요청 기록 + 승인 흐름 (평가 재작성 요청 이력 저장 위치 신설 필요)</t>
        </is>
      </c>
      <c r="L55" s="14" t="n">
        <v>3</v>
      </c>
      <c r="M55" s="14" t="n">
        <v>3</v>
      </c>
      <c r="N55" s="14" t="n">
        <v>2</v>
      </c>
      <c r="O55" s="14">
        <f>L55+M55+N55</f>
        <v/>
      </c>
      <c r="P55" s="14" t="inlineStr">
        <is>
          <t>고유</t>
        </is>
      </c>
      <c r="Q55" s="14" t="inlineStr">
        <is>
          <t>14일</t>
        </is>
      </c>
      <c r="R55" s="3" t="inlineStr">
        <is>
          <t>3건 이상 또는 담당 팀원의 30% 이상</t>
        </is>
      </c>
      <c r="S55" s="3" t="inlineStr">
        <is>
          <t>해당 평가의 근거 문장이 채워지면 즉시</t>
        </is>
      </c>
      <c r="T55" s="3" t="inlineStr">
        <is>
          <t>평가 근거 요약문은 실측 존재(221건). 다만 평가자 매핑이 없어 '누가 쓴 근거'인지 현재 확인 불가 — 신설 필요. 관측 대상은 팀원이 아니라 1차 평가자의 작성 충실도. 알림 조절: 평가 1건의 근거 부족은 1차에게 먼저 뜨고, 2차에는 평가자 단위로 묶어서만 올린다</t>
        </is>
      </c>
    </row>
    <row r="56" ht="74" customHeight="1">
      <c r="A56" s="14" t="n">
        <v>54</v>
      </c>
      <c r="B56" s="3" t="inlineStr">
        <is>
          <t>평가-상위조직장-03</t>
        </is>
      </c>
      <c r="C56" s="14" t="inlineStr">
        <is>
          <t>평가</t>
        </is>
      </c>
      <c r="D56" s="3" t="inlineStr">
        <is>
          <t>상위 조직장(2차 평가자)</t>
        </is>
      </c>
      <c r="E56" s="14" t="inlineStr">
        <is>
          <t>T3 기준 이탈</t>
        </is>
      </c>
      <c r="F56" s="3" t="inlineStr">
        <is>
          <t>한 1차 평가자가 부여한 상위 등급 비중이 제도 권고 상한을 20%p 이상 넘거나 중간 등급 비중이 80%를 넘고, 담당 팀원이 5명 이상일 때</t>
        </is>
      </c>
      <c r="G56" s="14" t="inlineStr">
        <is>
          <t>제도 기준값</t>
        </is>
      </c>
      <c r="H56" s="3" t="inlineStr">
        <is>
          <t>1차 평가자별 부여 등급 분포(S/A/B/C); 평가자별 담당 팀원 수; 제도 등급 분포 권고값; 내 조직 전체 등급 분포; 해당 팀의 목표 달성 정규화 점수</t>
        </is>
      </c>
      <c r="I56" s="3" t="inlineStr">
        <is>
          <t>평가자별 등급 분포 비교표; 해당 팀의 목표 달성 점수 분포; 같은 평가자의 지난 두 사이클 등급 분포; 회의에서 다룰 항목 초안</t>
        </is>
      </c>
      <c r="J56" s="14" t="inlineStr">
        <is>
          <t>A4 면담</t>
        </is>
      </c>
      <c r="K56" s="3" t="inlineStr">
        <is>
          <t>일정 + 이야기할 항목 기록 (등급 조정 회의 기록 — 저장 위치 신설 필요)</t>
        </is>
      </c>
      <c r="L56" s="14" t="n">
        <v>3</v>
      </c>
      <c r="M56" s="14" t="n">
        <v>2</v>
      </c>
      <c r="N56" s="14" t="n">
        <v>3</v>
      </c>
      <c r="O56" s="14">
        <f>L56+M56+N56</f>
        <v/>
      </c>
      <c r="P56" s="14" t="inlineStr">
        <is>
          <t>고유</t>
        </is>
      </c>
      <c r="Q56" s="14" t="inlineStr">
        <is>
          <t>14일</t>
        </is>
      </c>
      <c r="R56" s="3" t="inlineStr">
        <is>
          <t>담당 팀원 5명 이상일 때만 확인</t>
        </is>
      </c>
      <c r="S56" s="3" t="inlineStr">
        <is>
          <t>조정 회의 기록이 남거나 등급 분포가 권고 범위에 들어오면 즉시</t>
        </is>
      </c>
      <c r="T56" s="3" t="inlineStr">
        <is>
          <t>등급(S/A/B/C)과 과거 평가 이력(204명, FY2024~2025)은 실측 존재. 평가자 매핑이 없어 '평가자별' 집계가 현재 불가 — 신설 필요. 등급 조정 이력·조정 회의 기록이 브라우저 임시 저장뿐 — 서버 보존 신설 필요. 관대화(상위 쏠림)와 중앙집중(중간 쏠림)을 한 규칙의 두 방향으로 둔다. 알림 조절: 팀원 개인의 등급 자체는 2차에 개별로 올리지 않는다</t>
        </is>
      </c>
    </row>
    <row r="57" ht="74" customHeight="1">
      <c r="A57" s="14" t="n">
        <v>55</v>
      </c>
      <c r="B57" s="3" t="inlineStr">
        <is>
          <t>평가-상위조직장-04</t>
        </is>
      </c>
      <c r="C57" s="14" t="inlineStr">
        <is>
          <t>평가</t>
        </is>
      </c>
      <c r="D57" s="3" t="inlineStr">
        <is>
          <t>상위 조직장(2차 평가자)</t>
        </is>
      </c>
      <c r="E57" s="14" t="inlineStr">
        <is>
          <t>T4 연결 불일치</t>
        </is>
      </c>
      <c r="F57" s="3" t="inlineStr">
        <is>
          <t>부여 등급이 상위인데 목표 달성 점수가 내 조직 중위값보다 낮은 것이 3건 이상이거나 해당 평가자 담당의 30% 이상일 때</t>
        </is>
      </c>
      <c r="G57" s="14" t="inlineStr">
        <is>
          <t>팀 평균</t>
        </is>
      </c>
      <c r="H57" s="3" t="inlineStr">
        <is>
          <t>평가별 부여 등급; 목표 달성·피어 강점·실행 일관성 정규화 점수; 내 조직 점수 중위값; 핵심결과 진척과 달성값; 평가자별 담당 명단</t>
        </is>
      </c>
      <c r="I57" s="3" t="inlineStr">
        <is>
          <t>등급과 점수가 벌어진 평가 목록; 해당 팀원의 진척·점검 이력; 근거 요약문 원문; 재검토 요청 문구 초안</t>
        </is>
      </c>
      <c r="J57" s="14" t="inlineStr">
        <is>
          <t>A6 요청</t>
        </is>
      </c>
      <c r="K57" s="3" t="inlineStr">
        <is>
          <t>요청 기록 + 승인 흐름 (평가 재검토 요청 이력 저장 위치 신설 필요)</t>
        </is>
      </c>
      <c r="L57" s="14" t="n">
        <v>3</v>
      </c>
      <c r="M57" s="14" t="n">
        <v>2</v>
      </c>
      <c r="N57" s="14" t="n">
        <v>3</v>
      </c>
      <c r="O57" s="14">
        <f>L57+M57+N57</f>
        <v/>
      </c>
      <c r="P57" s="14" t="inlineStr">
        <is>
          <t>고유</t>
        </is>
      </c>
      <c r="Q57" s="14" t="inlineStr">
        <is>
          <t>14일</t>
        </is>
      </c>
      <c r="R57" s="3" t="inlineStr">
        <is>
          <t>3건 이상 또는 해당 평가자 담당의 30% 이상</t>
        </is>
      </c>
      <c r="S57" s="3" t="inlineStr">
        <is>
          <t>등급이 조정되거나 근거가 보완되어 재검토가 종결되면 즉시</t>
        </is>
      </c>
      <c r="T57" s="3" t="inlineStr">
        <is>
          <t>3요소 점수·등급·진척은 실측 존재(평가 221건). 평가자 매핑이 없어 평가자 단위로 묶을 수 없음 — 신설 필요. 알림 조절: 개별 1건은 1차가 먼저 볼 기회를 가진 뒤 3건 이상 모일 때만 2차 카드를 만든다</t>
        </is>
      </c>
    </row>
    <row r="58" ht="74" customHeight="1">
      <c r="A58" s="14" t="n">
        <v>56</v>
      </c>
      <c r="B58" s="3" t="inlineStr">
        <is>
          <t>평가-상위조직장-05</t>
        </is>
      </c>
      <c r="C58" s="14" t="inlineStr">
        <is>
          <t>평가</t>
        </is>
      </c>
      <c r="D58" s="3" t="inlineStr">
        <is>
          <t>상위 조직장(2차 평가자)</t>
        </is>
      </c>
      <c r="E58" s="14" t="inlineStr">
        <is>
          <t>T5 상황 변동</t>
        </is>
      </c>
      <c r="F58" s="3" t="inlineStr">
        <is>
          <t>1차 평가자가 이미 제출한 평가의 등급을 바꿨고, 바뀐 이유가 기록되지 않은 것이 1건 이상일 때</t>
        </is>
      </c>
      <c r="G58" s="14" t="inlineStr">
        <is>
          <t>없음</t>
        </is>
      </c>
      <c r="H58" s="3" t="inlineStr">
        <is>
          <t>평가 등급 변경 이력(변경 전·후 값, 변경 시각, 변경자); 변경 사유 기록 유무; 해당 팀원의 3요소 점수와 진척; 평가 제출 상태</t>
        </is>
      </c>
      <c r="I58" s="3" t="inlineStr">
        <is>
          <t>변경 전후 등급과 변경 시각; 대상 팀원의 점수·진척·근거 요약문; 같은 팀 등급 분포의 변화; 승인 판단에 쓸 사실 묶음</t>
        </is>
      </c>
      <c r="J58" s="14" t="inlineStr">
        <is>
          <t>A6 요청</t>
        </is>
      </c>
      <c r="K58" s="3" t="inlineStr">
        <is>
          <t>요청 기록 + 승인 흐름 (등급 변경 승인·사유 기록 저장 위치 신설 필요)</t>
        </is>
      </c>
      <c r="L58" s="14" t="n">
        <v>3</v>
      </c>
      <c r="M58" s="14" t="n">
        <v>2</v>
      </c>
      <c r="N58" s="14" t="n">
        <v>3</v>
      </c>
      <c r="O58" s="14">
        <f>L58+M58+N58</f>
        <v/>
      </c>
      <c r="P58" s="14" t="inlineStr">
        <is>
          <t>고유</t>
        </is>
      </c>
      <c r="Q58" s="14" t="inlineStr">
        <is>
          <t>재알림 없음(1회)</t>
        </is>
      </c>
      <c r="R58" s="3" t="inlineStr">
        <is>
          <t>해당 없음 — 2차 승인 대상이라 1건도 알린다</t>
        </is>
      </c>
      <c r="S58" s="3" t="inlineStr">
        <is>
          <t>사유가 기록되고 2차가 승인 또는 반송하면 즉시</t>
        </is>
      </c>
      <c r="T58" s="3" t="inlineStr">
        <is>
          <t>등급 조정 이력과 조정 세션 기록이 브라우저 임시 저장뿐 — 변경 이력(전·후 값·시각·변경자) 신설 필요, 이 신호의 전제. 알림 조절: 1차 평가자 본인의 행위이므로 1차에는 카드를 만들지 않고 2차 전용으로 둔다. 팀원 본인에게는 확정 통보 단계에서만 보인다</t>
        </is>
      </c>
    </row>
    <row r="59" ht="74" customHeight="1">
      <c r="A59" s="14" t="n">
        <v>57</v>
      </c>
      <c r="B59" s="3" t="inlineStr">
        <is>
          <t>평가-HR경영진-01</t>
        </is>
      </c>
      <c r="C59" s="14" t="inlineStr">
        <is>
          <t>평가</t>
        </is>
      </c>
      <c r="D59" s="3" t="inlineStr">
        <is>
          <t>HR·경영진</t>
        </is>
      </c>
      <c r="E59" s="14" t="inlineStr">
        <is>
          <t>T1 기한 도래</t>
        </is>
      </c>
      <c r="F59" s="3" t="inlineStr">
        <is>
          <t>평가 마감일까지 2일 이하 남았고 전사 제출률이 85%에 못 미치며 제출률 50% 미만 조직이 5개 이상일 때</t>
        </is>
      </c>
      <c r="G59" s="14" t="inlineStr">
        <is>
          <t>제도 기준값</t>
        </is>
      </c>
      <c r="H59" s="3" t="inlineStr">
        <is>
          <t>평가 기간 일정의 마감일; 평가별 제출 상태와 제출 시각; 1차 평가자 매핑; 조직별 평가 대상 인원수</t>
        </is>
      </c>
      <c r="I59" s="3" t="inlineStr">
        <is>
          <t>조직별 제출률과 남은 건수; 미제출이 몰린 조직 목록; 지난 사이클 같은 시점 제출률</t>
        </is>
      </c>
      <c r="J59" s="14" t="inlineStr">
        <is>
          <t>A3 전달</t>
        </is>
      </c>
      <c r="K59" s="3" t="inlineStr">
        <is>
          <t>마감 안내 메시지 발송 기록(보냄·받음) + 조직별 제출률 갱신 — 알림 발송 기록 신설 필요</t>
        </is>
      </c>
      <c r="L59" s="14" t="n">
        <v>3</v>
      </c>
      <c r="M59" s="14" t="n">
        <v>3</v>
      </c>
      <c r="N59" s="14" t="n">
        <v>1</v>
      </c>
      <c r="O59" s="14">
        <f>L59+M59+N59</f>
        <v/>
      </c>
      <c r="P59" s="14" t="inlineStr">
        <is>
          <t>범용</t>
        </is>
      </c>
      <c r="Q59" s="14" t="inlineStr">
        <is>
          <t>3일</t>
        </is>
      </c>
      <c r="R59" s="3" t="inlineStr">
        <is>
          <t>조직·전사 합계 기준 제출률 50% 미만 조직 5개 이상 또는 전사 제출률 85% 미만</t>
        </is>
      </c>
      <c r="S59" s="3" t="inlineStr">
        <is>
          <t>전사 제출률이 85%를 넘거나 마감일이 지나면</t>
        </is>
      </c>
      <c r="T59" s="3" t="inlineStr">
        <is>
          <t>평가 레코드에 평가자 매핑·제출 시각·제출 상태가 없어 신설 필요, 평가 기간 일정 마스터도 없음 — 두 항목이 이 카드의 전제다. 팀장(1차 평가자)·상위 조직장(2차 평가자)에게 먼저 미제출 카드가 떴다는 전제 아래 생성한다</t>
        </is>
      </c>
    </row>
    <row r="60" ht="74" customHeight="1">
      <c r="A60" s="14" t="n">
        <v>58</v>
      </c>
      <c r="B60" s="3" t="inlineStr">
        <is>
          <t>평가-HR경영진-02</t>
        </is>
      </c>
      <c r="C60" s="14" t="inlineStr">
        <is>
          <t>평가</t>
        </is>
      </c>
      <c r="D60" s="3" t="inlineStr">
        <is>
          <t>HR·경영진</t>
        </is>
      </c>
      <c r="E60" s="14" t="inlineStr">
        <is>
          <t>T2 작성 공백</t>
        </is>
      </c>
      <c r="F60" s="3" t="inlineStr">
        <is>
          <t>한 조직의 제출된 평가 중 근거 요약문이 제도 기준 글자수에 못 미치거나 인용한 기록이 한 건도 없는 평가가 5건 이상이거나 그 조직 대상자의 20% 이상일 때</t>
        </is>
      </c>
      <c r="G60" s="14" t="inlineStr">
        <is>
          <t>제도 기준값</t>
        </is>
      </c>
      <c r="H60" s="3" t="inlineStr">
        <is>
          <t>평가의 근거 요약문 내용과 길이; 평가가 인용한 점검·다면 기록; 평가 대상자의 소속조직; 조직별 평가 건수</t>
        </is>
      </c>
      <c r="I60" s="3" t="inlineStr">
        <is>
          <t>근거가 부실한 평가 건수와 조직 분포; 해당 대상자의 점검 건수와 진척 기록; 인용할 수 있는 기록 목록</t>
        </is>
      </c>
      <c r="J60" s="14" t="inlineStr">
        <is>
          <t>A6 요청</t>
        </is>
      </c>
      <c r="K60" s="3" t="inlineStr">
        <is>
          <t>평가 근거 보완 요청 기록 + 조직별 보완 이행 상태 — 요청 처리 이력 신설 필요</t>
        </is>
      </c>
      <c r="L60" s="14" t="n">
        <v>3</v>
      </c>
      <c r="M60" s="14" t="n">
        <v>2</v>
      </c>
      <c r="N60" s="14" t="n">
        <v>3</v>
      </c>
      <c r="O60" s="14">
        <f>L60+M60+N60</f>
        <v/>
      </c>
      <c r="P60" s="14" t="inlineStr">
        <is>
          <t>고유</t>
        </is>
      </c>
      <c r="Q60" s="14" t="inlineStr">
        <is>
          <t>14일</t>
        </is>
      </c>
      <c r="R60" s="3" t="inlineStr">
        <is>
          <t>조직·전사 합계 기준 조직당 근거 부실 평가 5건 이상 또는 그 조직 대상자의 20% 이상</t>
        </is>
      </c>
      <c r="S60" s="3" t="inlineStr">
        <is>
          <t>해당 조직의 근거 부실 건수가 기준 아래로 내려가거나 보완이 완료되면</t>
        </is>
      </c>
      <c r="T60" s="3" t="inlineStr">
        <is>
          <t>평가 221건에 근거 요약문은 있으나 그 근거가 어느 점검·다면 기록을 인용했는지 연결 정보가 없어 확인·신설 필요. 근거 최소 글자수 등 제도 기준값도 정해야 한다. 상위 조직장(2차 평가자)의 1차 평가 충실도 카드가 먼저 뜬다는 전제</t>
        </is>
      </c>
    </row>
    <row r="61" ht="74" customHeight="1">
      <c r="A61" s="14" t="n">
        <v>59</v>
      </c>
      <c r="B61" s="3" t="inlineStr">
        <is>
          <t>평가-HR경영진-03</t>
        </is>
      </c>
      <c r="C61" s="14" t="inlineStr">
        <is>
          <t>평가</t>
        </is>
      </c>
      <c r="D61" s="3" t="inlineStr">
        <is>
          <t>HR·경영진</t>
        </is>
      </c>
      <c r="E61" s="14" t="inlineStr">
        <is>
          <t>T3 기준 이탈</t>
        </is>
      </c>
      <c r="F61" s="3" t="inlineStr">
        <is>
          <t>한 조직의 상위 등급 비중이 제도 가이드라인 상한을 15%p 이상 넘고, 그 조직 평가 대상자가 5명 이상일 때</t>
        </is>
      </c>
      <c r="G61" s="14" t="inlineStr">
        <is>
          <t>제도 기준값</t>
        </is>
      </c>
      <c r="H61" s="3" t="inlineStr">
        <is>
          <t>평가의 등급과 대상자 소속조직; 조직별 평가 대상 인원수; 제도로 정한 등급 분포 가이드라인; 과거 평가 이력의 조직별 등급 분포</t>
        </is>
      </c>
      <c r="I61" s="3" t="inlineStr">
        <is>
          <t>조직별 등급 분포와 가이드라인 비교; 같은 조직의 지난 사이클 분포; 등급별 종합점수 범위</t>
        </is>
      </c>
      <c r="J61" s="14" t="inlineStr">
        <is>
          <t>A6 요청</t>
        </is>
      </c>
      <c r="K61" s="3" t="inlineStr">
        <is>
          <t>등급 조정 회의 소집 요청 기록 + 대상 조직 목록 + 조정 결과와 등급 변경 이력 — 조정 이력·회의 기록 저장 위치 신설 필요</t>
        </is>
      </c>
      <c r="L61" s="14" t="n">
        <v>3</v>
      </c>
      <c r="M61" s="14" t="n">
        <v>2</v>
      </c>
      <c r="N61" s="14" t="n">
        <v>2</v>
      </c>
      <c r="O61" s="14">
        <f>L61+M61+N61</f>
        <v/>
      </c>
      <c r="P61" s="14" t="inlineStr">
        <is>
          <t>고유</t>
        </is>
      </c>
      <c r="Q61" s="14" t="inlineStr">
        <is>
          <t>14일</t>
        </is>
      </c>
      <c r="R61" s="3" t="inlineStr">
        <is>
          <t>조직·전사 합계 기준 조직당 대상자 5명 이상 또는 그 조직 인원의 20% 이상</t>
        </is>
      </c>
      <c r="S61" s="3" t="inlineStr">
        <is>
          <t>등급 조정 회의 결과가 등록되거나 해당 조직 분포가 가이드라인 안으로 들어오면</t>
        </is>
      </c>
      <c r="T61" s="3" t="inlineStr">
        <is>
          <t>등급 조정 이력·calibration 세션 기록이 브라우저 임시 저장뿐이라 서버 보존 신설 필요. 등급 분포 가이드라인 값도 제도로 정해야 한다. 등급(S/A/B/C) 221건과 과거 이력 204명분은 실제로 있어 분포 확인은 가능. 경영진용 카드(평가-HR경영진-04)와 같은 원인</t>
        </is>
      </c>
    </row>
    <row r="62" ht="74" customHeight="1">
      <c r="A62" s="14" t="n">
        <v>60</v>
      </c>
      <c r="B62" s="3" t="inlineStr">
        <is>
          <t>평가-HR경영진-04</t>
        </is>
      </c>
      <c r="C62" s="14" t="inlineStr">
        <is>
          <t>평가</t>
        </is>
      </c>
      <c r="D62" s="3" t="inlineStr">
        <is>
          <t>HR·경영진</t>
        </is>
      </c>
      <c r="E62" s="14" t="inlineStr">
        <is>
          <t>T3 기준 이탈</t>
        </is>
      </c>
      <c r="F62" s="3" t="inlineStr">
        <is>
          <t>조직 간 상위 등급 비중 격차가 30%p 이상이고, 같은 종합점수 구간에서 조직에 따라 등급이 다른 대상자가 10명 이상일 때</t>
        </is>
      </c>
      <c r="G62" s="14" t="inlineStr">
        <is>
          <t>제도 기준값</t>
        </is>
      </c>
      <c r="H62" s="3" t="inlineStr">
        <is>
          <t>평가의 등급과 종합점수; 대상자 소속조직; 조직별 인원수; 조직 계층과 본부 구분; 2차 평가자 매핑</t>
        </is>
      </c>
      <c r="I62" s="3" t="inlineStr">
        <is>
          <t>조직별 등급-점수 대응표; 점수 구간별 등급 분포; 지난 사이클 조직 간 격차</t>
        </is>
      </c>
      <c r="J62" s="14" t="inlineStr">
        <is>
          <t>A3 전달</t>
        </is>
      </c>
      <c r="K62" s="3" t="inlineStr">
        <is>
          <t>재검토 요청 메시지 발송 기록(보냄·받음) + 본부별 회신 상태 — 알림 발송 기록 신설 필요</t>
        </is>
      </c>
      <c r="L62" s="14" t="n">
        <v>3</v>
      </c>
      <c r="M62" s="14" t="n">
        <v>2</v>
      </c>
      <c r="N62" s="14" t="n">
        <v>2</v>
      </c>
      <c r="O62" s="14">
        <f>L62+M62+N62</f>
        <v/>
      </c>
      <c r="P62" s="14" t="inlineStr">
        <is>
          <t>고유</t>
        </is>
      </c>
      <c r="Q62" s="14" t="inlineStr">
        <is>
          <t>14일</t>
        </is>
      </c>
      <c r="R62" s="3" t="inlineStr">
        <is>
          <t>조직·전사 합계 기준 비교 대상 조직 5개 이상이며 등급이 갈린 대상자 10명 이상</t>
        </is>
      </c>
      <c r="S62" s="3" t="inlineStr">
        <is>
          <t>재검토 회신이 등록되거나 조직 간 격차가 30%p 아래로 줄어들면</t>
        </is>
      </c>
      <c r="T62" s="3" t="inlineStr">
        <is>
          <t>HR용 카드(평가-HR경영진-03)와 같은 원인·같은 근거를 쓰고 행동만 다르다(HR=조정 회의 소집, 경영진=2차 평가자 재검토 지시). 2차 평가자 매핑이 없어 수신자를 정할 수 없으므로 평가자 매핑 신설 필요</t>
        </is>
      </c>
    </row>
    <row r="63" ht="74" customHeight="1">
      <c r="A63" s="14" t="n">
        <v>61</v>
      </c>
      <c r="B63" s="3" t="inlineStr">
        <is>
          <t>평가-HR경영진-05</t>
        </is>
      </c>
      <c r="C63" s="14" t="inlineStr">
        <is>
          <t>평가</t>
        </is>
      </c>
      <c r="D63" s="3" t="inlineStr">
        <is>
          <t>HR·경영진</t>
        </is>
      </c>
      <c r="E63" s="14" t="inlineStr">
        <is>
          <t>T4 연결 불일치</t>
        </is>
      </c>
      <c r="F63" s="3" t="inlineStr">
        <is>
          <t>한 조직의 목표 평균 진척률이 전사 평균보다 20%p 이상 낮은데 상위 등급 비중은 전사 평균보다 15%p 이상 높고, 그런 대상자가 5명 이상일 때</t>
        </is>
      </c>
      <c r="G63" s="14" t="inlineStr">
        <is>
          <t>팀 평균</t>
        </is>
      </c>
      <c r="H63" s="3" t="inlineStr">
        <is>
          <t>평가의 등급과 종합점수·3요소 원점수; 목표·핵심결과 진척률; 대상자 소속조직; 조직별 인원수</t>
        </is>
      </c>
      <c r="I63" s="3" t="inlineStr">
        <is>
          <t>진척과 등급이 어긋난 인원 수와 조직 분포; 해당 조직의 목표달성 원점수 분포; 근거 요약문 표본</t>
        </is>
      </c>
      <c r="J63" s="14" t="inlineStr">
        <is>
          <t>A6 요청</t>
        </is>
      </c>
      <c r="K63" s="3" t="inlineStr">
        <is>
          <t>평가 재검토 요청 기록 + 재검토 결과와 등급 변경 이력 — 조정 이력 저장 위치 신설 필요</t>
        </is>
      </c>
      <c r="L63" s="14" t="n">
        <v>3</v>
      </c>
      <c r="M63" s="14" t="n">
        <v>2</v>
      </c>
      <c r="N63" s="14" t="n">
        <v>3</v>
      </c>
      <c r="O63" s="14">
        <f>L63+M63+N63</f>
        <v/>
      </c>
      <c r="P63" s="14" t="inlineStr">
        <is>
          <t>고유</t>
        </is>
      </c>
      <c r="Q63" s="14" t="inlineStr">
        <is>
          <t>14일</t>
        </is>
      </c>
      <c r="R63" s="3" t="inlineStr">
        <is>
          <t>조직·전사 합계 기준 어긋난 대상자 5명 이상 또는 그 조직 인원의 20% 이상</t>
        </is>
      </c>
      <c r="S63" s="3" t="inlineStr">
        <is>
          <t>재검토 결과가 등록되거나 어긋난 대상자가 기준 아래로 줄어들면</t>
        </is>
      </c>
      <c r="T63" s="3" t="inlineStr">
        <is>
          <t>평가 3요소 원점수·정규화점수·등급과 목표 진척률이 모두 있어 확인 가능하나, 평가가 어느 목표·핵심결과를 근거로 삼았는지 연결 정보가 없어 확인 필요. 등급 조정 이력 저장 위치 신설 필요. 상위 조직장(2차 평가자)의 팀 단위 카드가 먼저 뜬다는 전제이며 개인 이름은 노출하지 않고 조직 단위 인원 수만 보여준다</t>
        </is>
      </c>
    </row>
    <row r="64" ht="74" customHeight="1">
      <c r="A64" s="14" t="n">
        <v>62</v>
      </c>
      <c r="B64" s="3" t="inlineStr">
        <is>
          <t>평가-HR경영진-06</t>
        </is>
      </c>
      <c r="C64" s="14" t="inlineStr">
        <is>
          <t>평가</t>
        </is>
      </c>
      <c r="D64" s="3" t="inlineStr">
        <is>
          <t>HR·경영진</t>
        </is>
      </c>
      <c r="E64" s="14" t="inlineStr">
        <is>
          <t>T5 상황 변동</t>
        </is>
      </c>
      <c r="F64" s="3" t="inlineStr">
        <is>
          <t>평가 기간 안에 발령이나 조직 이동이 있었던 인원이 5명 이상이고, 그중 새 평가자가 지정되지 않은 비율이 50% 이상일 때</t>
        </is>
      </c>
      <c r="G64" s="14" t="inlineStr">
        <is>
          <t>없음</t>
        </is>
      </c>
      <c r="H64" s="3" t="inlineStr">
        <is>
          <t>발령·직무이동 이력과 발효일; 평가 기간의 개시일·마감일; 평가자 매핑; 이동 인원의 이동 전후 소속조직</t>
        </is>
      </c>
      <c r="I64" s="3" t="inlineStr">
        <is>
          <t>이동 인원의 조직별 분포; 이동 전후 재직 기간 비율; 이동 전 조직에 남은 목표·점검 기록 건수</t>
        </is>
      </c>
      <c r="J64" s="14" t="inlineStr">
        <is>
          <t>A6 요청</t>
        </is>
      </c>
      <c r="K64" s="3" t="inlineStr">
        <is>
          <t>평가자 지정·기간 분할 요청 기록 + 처리 결과 — 평가자 지정과 요청 처리 이력 신설 필요</t>
        </is>
      </c>
      <c r="L64" s="14" t="n">
        <v>3</v>
      </c>
      <c r="M64" s="14" t="n">
        <v>1</v>
      </c>
      <c r="N64" s="14" t="n">
        <v>3</v>
      </c>
      <c r="O64" s="14">
        <f>L64+M64+N64</f>
        <v/>
      </c>
      <c r="P64" s="14" t="inlineStr">
        <is>
          <t>고유</t>
        </is>
      </c>
      <c r="Q64" s="14" t="inlineStr">
        <is>
          <t>재알림 없음(1회)</t>
        </is>
      </c>
      <c r="R64" s="3" t="inlineStr">
        <is>
          <t>조직·전사 합계 기준 이동 인원 5명 이상 또는 대상 조직의 20% 이상</t>
        </is>
      </c>
      <c r="S64" s="3" t="inlineStr">
        <is>
          <t>대상 인원 전원에 평가자가 지정되거나 처리 결과가 등록되면</t>
        </is>
      </c>
      <c r="T64" s="3" t="inlineStr">
        <is>
          <t>발령·직무이동 이력 채움률 0.5%(221명 중 1명)이고 평가자 매핑 자체가 없어 두 항목 모두 확인·신설 필요 — 두 원천이 갖춰진 뒤에 켠다</t>
        </is>
      </c>
    </row>
    <row r="65" ht="74" customHeight="1">
      <c r="A65" s="14" t="n">
        <v>63</v>
      </c>
      <c r="B65" s="3" t="inlineStr">
        <is>
          <t>피드백-구성원-01</t>
        </is>
      </c>
      <c r="C65" s="14" t="inlineStr">
        <is>
          <t>피드백</t>
        </is>
      </c>
      <c r="D65" s="3" t="inlineStr">
        <is>
          <t>구성원</t>
        </is>
      </c>
      <c r="E65" s="14" t="inlineStr">
        <is>
          <t>T1 기한 도래</t>
        </is>
      </c>
      <c r="F65" s="3" t="inlineStr">
        <is>
          <t>다면진단 마감일까지 3일 이하로 남았고, 나에게 배정된 대상자 중 1명 이상을 아직 쓰지 않았을 때</t>
        </is>
      </c>
      <c r="G65" s="14" t="inlineStr">
        <is>
          <t>제도 기준값</t>
        </is>
      </c>
      <c r="H65" s="3" t="inlineStr">
        <is>
          <t>다면진단 배정 목록; 내가 제출한 리뷰 건수; 다면진단 마감일</t>
        </is>
      </c>
      <c r="I65" s="3" t="inlineStr">
        <is>
          <t>대상 동료와 같이 걸린 목표·핵심결과; 대상 동료의 역량 프로파일 항목; 함께 남긴 점검 코멘트</t>
        </is>
      </c>
      <c r="J65" s="14" t="inlineStr">
        <is>
          <t>A1 작성</t>
        </is>
      </c>
      <c r="K65" s="3" t="inlineStr">
        <is>
          <t>다면진단 제출 기록 신규 생성 (저장 위치 신설 필요)</t>
        </is>
      </c>
      <c r="L65" s="14" t="n">
        <v>2</v>
      </c>
      <c r="M65" s="14" t="n">
        <v>3</v>
      </c>
      <c r="N65" s="14" t="n">
        <v>1</v>
      </c>
      <c r="O65" s="14">
        <f>L65+M65+N65</f>
        <v/>
      </c>
      <c r="P65" s="14" t="inlineStr">
        <is>
          <t>범용</t>
        </is>
      </c>
      <c r="Q65" s="14" t="inlineStr">
        <is>
          <t>3일</t>
        </is>
      </c>
      <c r="R65" s="3" t="inlineStr">
        <is>
          <t>해당 없음</t>
        </is>
      </c>
      <c r="S65" s="3" t="inlineStr">
        <is>
          <t>배정된 리뷰를 모두 제출하면 즉시</t>
        </is>
      </c>
      <c r="T65" s="3" t="inlineStr">
        <is>
          <t>현 데모에서 다면진단 제출 결과가 어디에도 저장되지 않음 — 제출 기록 저장 위치 신설이 전제. 배정 목록과 마감일 원천도 확인 필요. 시드 피어리뷰 55건은 화면에 미사용</t>
        </is>
      </c>
    </row>
    <row r="66" ht="74" customHeight="1">
      <c r="A66" s="14" t="n">
        <v>64</v>
      </c>
      <c r="B66" s="3" t="inlineStr">
        <is>
          <t>피드백-구성원-02</t>
        </is>
      </c>
      <c r="C66" s="14" t="inlineStr">
        <is>
          <t>피드백</t>
        </is>
      </c>
      <c r="D66" s="3" t="inlineStr">
        <is>
          <t>구성원</t>
        </is>
      </c>
      <c r="E66" s="14" t="inlineStr">
        <is>
          <t>T4 연결 불일치</t>
        </is>
      </c>
      <c r="F66" s="3" t="inlineStr">
        <is>
          <t>다면진단에서 3점 미만으로 나온 역량이 내 직무에서 가중치가 가장 높은 역량 2개 안에 들어 있을 때</t>
        </is>
      </c>
      <c r="G66" s="14" t="inlineStr">
        <is>
          <t>제도 기준값</t>
        </is>
      </c>
      <c r="H66" s="3" t="inlineStr">
        <is>
          <t>다면진단의 역량별 점수; 내 직무프로파일의 역량별 가중치; 역량 5종(D1~D5) 정의</t>
        </is>
      </c>
      <c r="I66" s="3" t="inlineStr">
        <is>
          <t>다면진단의 강점·개발 코멘트 문장; 해당 역량에 걸린 내 핵심결과; 직무의 요구 스킬 목록</t>
        </is>
      </c>
      <c r="J66" s="14" t="inlineStr">
        <is>
          <t>A1 작성</t>
        </is>
      </c>
      <c r="K66" s="3" t="inlineStr">
        <is>
          <t>역량 개발 메모 신규 생성 + 다음 기간 목표 후보로 저장 (저장 위치 신설 필요)</t>
        </is>
      </c>
      <c r="L66" s="14" t="n">
        <v>3</v>
      </c>
      <c r="M66" s="14" t="n">
        <v>1</v>
      </c>
      <c r="N66" s="14" t="n">
        <v>3</v>
      </c>
      <c r="O66" s="14">
        <f>L66+M66+N66</f>
        <v/>
      </c>
      <c r="P66" s="14" t="inlineStr">
        <is>
          <t>고유</t>
        </is>
      </c>
      <c r="Q66" s="14" t="inlineStr">
        <is>
          <t>재알림 없음(1회)</t>
        </is>
      </c>
      <c r="R66" s="3" t="inlineStr">
        <is>
          <t>해당 없음</t>
        </is>
      </c>
      <c r="S66" s="3" t="inlineStr">
        <is>
          <t>메모를 저장하거나 다음 기간 목표에 반영하면 즉시</t>
        </is>
      </c>
      <c r="T66" s="3" t="inlineStr">
        <is>
          <t>직무프로파일 98종의 역량 가중치와 역량 5종·스킬사전 749종은 실측 확인. 다면진단가 13명 55건에만 있어 모수 부족 — 전사 시행 여부 확인 필요. 개발 메모 저장 위치도 없어 신설 필요. 재알림은 다면 결과가 사이클당 1회만 산출되므로 1회로 둠</t>
        </is>
      </c>
    </row>
    <row r="67" ht="74" customHeight="1">
      <c r="A67" s="14" t="n">
        <v>65</v>
      </c>
      <c r="B67" s="3" t="inlineStr">
        <is>
          <t>피드백-구성원-03</t>
        </is>
      </c>
      <c r="C67" s="14" t="inlineStr">
        <is>
          <t>피드백</t>
        </is>
      </c>
      <c r="D67" s="3" t="inlineStr">
        <is>
          <t>구성원</t>
        </is>
      </c>
      <c r="E67" s="14" t="inlineStr">
        <is>
          <t>T5 상황 변동</t>
        </is>
      </c>
      <c r="F67" s="3" t="inlineStr">
        <is>
          <t>나에게 온 피드백이 3일 안에 도착했고, 보낸 사람이 내 목표나 핵심결과에 함께 걸린 동료일 때</t>
        </is>
      </c>
      <c r="G67" s="14" t="inlineStr">
        <is>
          <t>없음</t>
        </is>
      </c>
      <c r="H67" s="3" t="inlineStr">
        <is>
          <t>받은 피드백 기록의 도착 일시와 보낸 사람; 내 목표·핵심결과의 관련자 목록; 보낸 사람과 나의 목표 연결 관계</t>
        </is>
      </c>
      <c r="I67" s="3" t="inlineStr">
        <is>
          <t>받은 피드백 본문; 언급된 핵심결과의 진척과 점검 코멘트; 지난번 같은 동료와 주고받은 내용</t>
        </is>
      </c>
      <c r="J67" s="14" t="inlineStr">
        <is>
          <t>A3 전달</t>
        </is>
      </c>
      <c r="K67" s="3" t="inlineStr">
        <is>
          <t>답신 메시지 기록 + 보냄·받음·열람 기록 (저장 위치 신설 필요)</t>
        </is>
      </c>
      <c r="L67" s="14" t="n">
        <v>3</v>
      </c>
      <c r="M67" s="14" t="n">
        <v>1</v>
      </c>
      <c r="N67" s="14" t="n">
        <v>3</v>
      </c>
      <c r="O67" s="14">
        <f>L67+M67+N67</f>
        <v/>
      </c>
      <c r="P67" s="14" t="inlineStr">
        <is>
          <t>고유</t>
        </is>
      </c>
      <c r="Q67" s="14" t="inlineStr">
        <is>
          <t>재알림 없음(1회)</t>
        </is>
      </c>
      <c r="R67" s="3" t="inlineStr">
        <is>
          <t>해당 없음</t>
        </is>
      </c>
      <c r="S67" s="3" t="inlineStr">
        <is>
          <t>답신을 보내거나 확인으로 표시하면 즉시</t>
        </is>
      </c>
      <c r="T67" s="3" t="inlineStr">
        <is>
          <t>받은 피드백 기록 7건·상향 피드백 2건으로 데이터 희박. 피드백 전달 여부(보냄·받음·열람) 기록이 없어 신설 필요. '같은 목표에 함께 걸린 동료' 판단은 목표-참여자 관계 정의가 있어야 가능(현재 개인 목표 1건) — 관계가 없으면 이 카드를 만들지 않음</t>
        </is>
      </c>
    </row>
    <row r="68" ht="74" customHeight="1">
      <c r="A68" s="14" t="n">
        <v>66</v>
      </c>
      <c r="B68" s="3" t="inlineStr">
        <is>
          <t>피드백-팀장-01</t>
        </is>
      </c>
      <c r="C68" s="14" t="inlineStr">
        <is>
          <t>피드백</t>
        </is>
      </c>
      <c r="D68" s="3" t="inlineStr">
        <is>
          <t>팀장(1차 평가자)</t>
        </is>
      </c>
      <c r="E68" s="14" t="inlineStr">
        <is>
          <t>T1 기한 도래</t>
        </is>
      </c>
      <c r="F68" s="3" t="inlineStr">
        <is>
          <t>피드백 면담 기간이 시작된 뒤 7일이 지났고, 그 팀원과의 면담 기록이 0건일 때</t>
        </is>
      </c>
      <c r="G68" s="14" t="inlineStr">
        <is>
          <t>제도 기준값</t>
        </is>
      </c>
      <c r="H68" s="3" t="inlineStr">
        <is>
          <t>피드백 면담 기간의 개시일과 마감일; 팀원별 면담 기록 유무; 직속 팀원 명단</t>
        </is>
      </c>
      <c r="I68" s="3" t="inlineStr">
        <is>
          <t>확정된 등급과 3요소 정규화점수; 근거 요약문; 이번 기간 점검 문장; 다음 기간 후보 과업</t>
        </is>
      </c>
      <c r="J68" s="14" t="inlineStr">
        <is>
          <t>A4 면담</t>
        </is>
      </c>
      <c r="K68" s="3" t="inlineStr">
        <is>
          <t>일정 생성 + 이야기할 항목 기록(등급과 근거·잘한 점 2가지·다음 기간 과제) (면담 기록 서버 보존 신설 필요)</t>
        </is>
      </c>
      <c r="L68" s="14" t="n">
        <v>3</v>
      </c>
      <c r="M68" s="14" t="n">
        <v>3</v>
      </c>
      <c r="N68" s="14" t="n">
        <v>1</v>
      </c>
      <c r="O68" s="14">
        <f>L68+M68+N68</f>
        <v/>
      </c>
      <c r="P68" s="14" t="inlineStr">
        <is>
          <t>범용</t>
        </is>
      </c>
      <c r="Q68" s="14" t="inlineStr">
        <is>
          <t>7일</t>
        </is>
      </c>
      <c r="R68" s="3" t="inlineStr">
        <is>
          <t>해당 없음</t>
        </is>
      </c>
      <c r="S68" s="3" t="inlineStr">
        <is>
          <t>그 팀원과의 면담 일정이 저장되면 즉시</t>
        </is>
      </c>
      <c r="T68" s="3" t="inlineStr">
        <is>
          <t>피드백 면담 기간 일정과 면담 기록이 모두 서버에 없음(1on1 기록은 브라우저 80건 롤링) — 둘 다 신설 확인 필요</t>
        </is>
      </c>
    </row>
    <row r="69" ht="74" customHeight="1">
      <c r="A69" s="14" t="n">
        <v>67</v>
      </c>
      <c r="B69" s="3" t="inlineStr">
        <is>
          <t>피드백-팀장-02</t>
        </is>
      </c>
      <c r="C69" s="14" t="inlineStr">
        <is>
          <t>피드백</t>
        </is>
      </c>
      <c r="D69" s="3" t="inlineStr">
        <is>
          <t>팀장(1차 평가자)</t>
        </is>
      </c>
      <c r="E69" s="14" t="inlineStr">
        <is>
          <t>T2 작성 공백</t>
        </is>
      </c>
      <c r="F69" s="3" t="inlineStr">
        <is>
          <t>그 팀원에게 쓴 피드백 초안이 저장된 뒤 3일이 지났는데 보냄 기록이 없을 때</t>
        </is>
      </c>
      <c r="G69" s="14" t="inlineStr">
        <is>
          <t>제도 기준값</t>
        </is>
      </c>
      <c r="H69" s="3" t="inlineStr">
        <is>
          <t>피드백 초안의 작성일과 대상 팀원; 피드백 보냄·받음 기록; 제도에서 정한 전달 기한</t>
        </is>
      </c>
      <c r="I69" s="3" t="inlineStr">
        <is>
          <t>초안에 쓴 문장; 확정 등급과 근거 요약문; 그 팀원의 동료 리뷰 개발 코멘트</t>
        </is>
      </c>
      <c r="J69" s="14" t="inlineStr">
        <is>
          <t>A3 전달</t>
        </is>
      </c>
      <c r="K69" s="3" t="inlineStr">
        <is>
          <t>피드백 전달 기록 + 보냄·받음·열람 기록 생성 (피드백 전달 여부 기록 저장 위치 신설 필요)</t>
        </is>
      </c>
      <c r="L69" s="14" t="n">
        <v>3</v>
      </c>
      <c r="M69" s="14" t="n">
        <v>2</v>
      </c>
      <c r="N69" s="14" t="n">
        <v>2</v>
      </c>
      <c r="O69" s="14">
        <f>L69+M69+N69</f>
        <v/>
      </c>
      <c r="P69" s="14" t="inlineStr">
        <is>
          <t>고유</t>
        </is>
      </c>
      <c r="Q69" s="14" t="inlineStr">
        <is>
          <t>7일</t>
        </is>
      </c>
      <c r="R69" s="3" t="inlineStr">
        <is>
          <t>해당 없음</t>
        </is>
      </c>
      <c r="S69" s="3" t="inlineStr">
        <is>
          <t>피드백을 보내면 즉시</t>
        </is>
      </c>
      <c r="T69" s="3" t="inlineStr">
        <is>
          <t>피드백 전달 여부(보냄·받음·열람) 기록이 없고 받은 피드백 기록도 7건뿐 — 이 신호의 전제이므로 신설 확인 필요. 피드백 초안 저장 위치도 함께 필요</t>
        </is>
      </c>
    </row>
    <row r="70" ht="74" customHeight="1">
      <c r="A70" s="14" t="n">
        <v>68</v>
      </c>
      <c r="B70" s="3" t="inlineStr">
        <is>
          <t>피드백-팀장-03</t>
        </is>
      </c>
      <c r="C70" s="14" t="inlineStr">
        <is>
          <t>피드백</t>
        </is>
      </c>
      <c r="D70" s="3" t="inlineStr">
        <is>
          <t>팀장(1차 평가자)</t>
        </is>
      </c>
      <c r="E70" s="14" t="inlineStr">
        <is>
          <t>T5 상황 변동</t>
        </is>
      </c>
      <c r="F70" s="3" t="inlineStr">
        <is>
          <t>그 팀원의 동료 리뷰가 새로 도착했고, 같은 역량을 2명 이상이 개발 항목으로 적었을 때</t>
        </is>
      </c>
      <c r="G70" s="14" t="inlineStr">
        <is>
          <t>없음</t>
        </is>
      </c>
      <c r="H70" s="3" t="inlineStr">
        <is>
          <t>동료 리뷰 도착일과 작성자 수; 역량 D1~D5별 점수와 개발 코멘트; 역량 코드</t>
        </is>
      </c>
      <c r="I70" s="3" t="inlineStr">
        <is>
          <t>동료 리뷰의 강점·개발 코멘트; 직무프로파일의 역량 프로파일 가중치; 내가 쓴 근거 요약문</t>
        </is>
      </c>
      <c r="J70" s="14" t="inlineStr">
        <is>
          <t>A2 수정</t>
        </is>
      </c>
      <c r="K70" s="3" t="inlineStr">
        <is>
          <t>그 팀원 피드백 초안 수정 + 수정 이력 기록 (피드백 초안 저장 위치 신설 필요)</t>
        </is>
      </c>
      <c r="L70" s="14" t="n">
        <v>2</v>
      </c>
      <c r="M70" s="14" t="n">
        <v>1</v>
      </c>
      <c r="N70" s="14" t="n">
        <v>3</v>
      </c>
      <c r="O70" s="14">
        <f>L70+M70+N70</f>
        <v/>
      </c>
      <c r="P70" s="14" t="inlineStr">
        <is>
          <t>고유</t>
        </is>
      </c>
      <c r="Q70" s="14" t="inlineStr">
        <is>
          <t>재알림 없음(1회)</t>
        </is>
      </c>
      <c r="R70" s="3" t="inlineStr">
        <is>
          <t>해당 없음</t>
        </is>
      </c>
      <c r="S70" s="3" t="inlineStr">
        <is>
          <t>피드백 초안을 저장하면 즉시</t>
        </is>
      </c>
      <c r="T70" s="3" t="inlineStr">
        <is>
          <t>동료 리뷰 55건은 13명 한정이고 화면에 쓰이지 않으며 다면진단 제출 결과가 어디에도 저장되지 않음 — 다면 데이터 저장과 모수 확대가 이 신호의 전제. 역량 프로파일(역량별 가중치)은 실측 확인됨</t>
        </is>
      </c>
    </row>
    <row r="71" ht="74" customHeight="1">
      <c r="A71" s="14" t="n">
        <v>69</v>
      </c>
      <c r="B71" s="3" t="inlineStr">
        <is>
          <t>피드백-상위조직장-01</t>
        </is>
      </c>
      <c r="C71" s="14" t="inlineStr">
        <is>
          <t>피드백</t>
        </is>
      </c>
      <c r="D71" s="3" t="inlineStr">
        <is>
          <t>상위 조직장(2차 평가자)</t>
        </is>
      </c>
      <c r="E71" s="14" t="inlineStr">
        <is>
          <t>T1 기한 도래</t>
        </is>
      </c>
      <c r="F71" s="3" t="inlineStr">
        <is>
          <t>결과 면담 기간이 열린 뒤 10일이 지났고, 하위 팀 중 면담 기록이 대상자의 30% 미만인 팀이 1개 이상일 때</t>
        </is>
      </c>
      <c r="G71" s="14" t="inlineStr">
        <is>
          <t>제도 기준값</t>
        </is>
      </c>
      <c r="H71" s="3" t="inlineStr">
        <is>
          <t>결과 면담 기간의 개시일·마감일; 하위 팀별 면담 대상자 수; 팀별 면담 기록 건수; 내 조직 평균 면담 실시율</t>
        </is>
      </c>
      <c r="I71" s="3" t="inlineStr">
        <is>
          <t>팀별 면담 실시율 표; 마감일까지 남은 일수; 미실시 대상자 수; 메시지를 받을 1차 평가자 명단</t>
        </is>
      </c>
      <c r="J71" s="14" t="inlineStr">
        <is>
          <t>A3 전달</t>
        </is>
      </c>
      <c r="K71" s="3" t="inlineStr">
        <is>
          <t>메시지 기록 + 보냄·받음 기록 (알림 이력에 발송 결과 저장 — 서버 보존 신설 필요)</t>
        </is>
      </c>
      <c r="L71" s="14" t="n">
        <v>3</v>
      </c>
      <c r="M71" s="14" t="n">
        <v>3</v>
      </c>
      <c r="N71" s="14" t="n">
        <v>1</v>
      </c>
      <c r="O71" s="14">
        <f>L71+M71+N71</f>
        <v/>
      </c>
      <c r="P71" s="14" t="inlineStr">
        <is>
          <t>범용</t>
        </is>
      </c>
      <c r="Q71" s="14" t="inlineStr">
        <is>
          <t>3일</t>
        </is>
      </c>
      <c r="R71" s="3" t="inlineStr">
        <is>
          <t>3건 이상 또는 팀의 30% 이상</t>
        </is>
      </c>
      <c r="S71" s="3" t="inlineStr">
        <is>
          <t>해당 팀 면담 실시율이 70% 이상이 되면 즉시</t>
        </is>
      </c>
      <c r="T71" s="3" t="inlineStr">
        <is>
          <t>결과 면담 기간을 담는 일정 마스터 없음 — 신설 필요. 1on1·면담 기록이 브라우저 80건 롤링 — 서버 보존 신설 필요. 알림 조절: 대상자별 면담 독려는 1차가 하고, 2차에는 팀 합계만 올린다</t>
        </is>
      </c>
    </row>
    <row r="72" ht="74" customHeight="1">
      <c r="A72" s="14" t="n">
        <v>70</v>
      </c>
      <c r="B72" s="3" t="inlineStr">
        <is>
          <t>피드백-상위조직장-02</t>
        </is>
      </c>
      <c r="C72" s="14" t="inlineStr">
        <is>
          <t>피드백</t>
        </is>
      </c>
      <c r="D72" s="3" t="inlineStr">
        <is>
          <t>상위 조직장(2차 평가자)</t>
        </is>
      </c>
      <c r="E72" s="14" t="inlineStr">
        <is>
          <t>T2 작성 공백</t>
        </is>
      </c>
      <c r="F72" s="3" t="inlineStr">
        <is>
          <t>등급이 확정된 뒤 21일이 지났는데 한 팀의 결과 면담 기록이 대상자의 30%를 넘지 못할 때</t>
        </is>
      </c>
      <c r="G72" s="14" t="inlineStr">
        <is>
          <t>팀 평균</t>
        </is>
      </c>
      <c r="H72" s="3" t="inlineStr">
        <is>
          <t>등급 확정일; 1on1·면담 기록의 대상자와 실시일; 팀별 평가 대상자 명단; 하위 팀별 평균 실시 소요일</t>
        </is>
      </c>
      <c r="I72" s="3" t="inlineStr">
        <is>
          <t>팀별 면담 실시 현황; 미실시 대상자의 등급과 점수; 해당 팀장의 지난 사이클 실시율; 요청 문구에 넣을 사실 묶음</t>
        </is>
      </c>
      <c r="J72" s="14" t="inlineStr">
        <is>
          <t>A6 요청</t>
        </is>
      </c>
      <c r="K72" s="3" t="inlineStr">
        <is>
          <t>요청 기록 + 승인 흐름 (면담 실시 요청 이력 저장 위치 신설 필요)</t>
        </is>
      </c>
      <c r="L72" s="14" t="n">
        <v>3</v>
      </c>
      <c r="M72" s="14" t="n">
        <v>2</v>
      </c>
      <c r="N72" s="14" t="n">
        <v>2</v>
      </c>
      <c r="O72" s="14">
        <f>L72+M72+N72</f>
        <v/>
      </c>
      <c r="P72" s="14" t="inlineStr">
        <is>
          <t>고유</t>
        </is>
      </c>
      <c r="Q72" s="14" t="inlineStr">
        <is>
          <t>14일</t>
        </is>
      </c>
      <c r="R72" s="3" t="inlineStr">
        <is>
          <t>3건 이상 또는 팀의 30% 이상</t>
        </is>
      </c>
      <c r="S72" s="3" t="inlineStr">
        <is>
          <t>해당 팀 면담 실시율이 70% 이상이 되면 즉시</t>
        </is>
      </c>
      <c r="T72" s="3" t="inlineStr">
        <is>
          <t>1on1·면담 합의 기록이 브라우저 80건 롤링 — 서버 보존 신설 필요. 등급 확정일 필드 확인 필요. 관측 대상은 팀원이 아니라 1차 평가자의 면담 실시 행위. 알림 조절: 대상자 개인의 면담 미실시는 1차에게만 뜨고, 2차에는 팀 단위로 묶어 올린다</t>
        </is>
      </c>
    </row>
    <row r="73" ht="74" customHeight="1">
      <c r="A73" s="14" t="n">
        <v>71</v>
      </c>
      <c r="B73" s="3" t="inlineStr">
        <is>
          <t>피드백-상위조직장-03</t>
        </is>
      </c>
      <c r="C73" s="14" t="inlineStr">
        <is>
          <t>피드백</t>
        </is>
      </c>
      <c r="D73" s="3" t="inlineStr">
        <is>
          <t>상위 조직장(2차 평가자)</t>
        </is>
      </c>
      <c r="E73" s="14" t="inlineStr">
        <is>
          <t>T4 연결 불일치</t>
        </is>
      </c>
      <c r="F73" s="3" t="inlineStr">
        <is>
          <t>가장 낮은 등급을 받은 대상자 중 개발·육성 의견이 비어 있는 것이 3건 이상이거나 해당 팀 최저 등급의 절반을 넘을 때</t>
        </is>
      </c>
      <c r="G73" s="14" t="inlineStr">
        <is>
          <t>제도 기준값</t>
        </is>
      </c>
      <c r="H73" s="3" t="inlineStr">
        <is>
          <t>대상자별 확정 등급; 개발·육성 의견의 작성 여부와 길이; 다면진단의 개발 코멘트; 면담 기록 유무; 평가자별 담당 명단</t>
        </is>
      </c>
      <c r="I73" s="3" t="inlineStr">
        <is>
          <t>육성 의견이 빠진 대상자 목록; 해당 대상자의 역량 점수(D1~D5)와 다면 코멘트; 직무프로파일의 요구 스킬과 과업; 요청 문구 초안</t>
        </is>
      </c>
      <c r="J73" s="14" t="inlineStr">
        <is>
          <t>A6 요청</t>
        </is>
      </c>
      <c r="K73" s="3" t="inlineStr">
        <is>
          <t>요청 기록 + 승인 흐름 (육성 의견 보완 요청 이력 저장 위치 신설 필요)</t>
        </is>
      </c>
      <c r="L73" s="14" t="n">
        <v>3</v>
      </c>
      <c r="M73" s="14" t="n">
        <v>2</v>
      </c>
      <c r="N73" s="14" t="n">
        <v>3</v>
      </c>
      <c r="O73" s="14">
        <f>L73+M73+N73</f>
        <v/>
      </c>
      <c r="P73" s="14" t="inlineStr">
        <is>
          <t>고유</t>
        </is>
      </c>
      <c r="Q73" s="14" t="inlineStr">
        <is>
          <t>14일</t>
        </is>
      </c>
      <c r="R73" s="3" t="inlineStr">
        <is>
          <t>3건 이상 또는 해당 팀 최저 등급의 50% 이상</t>
        </is>
      </c>
      <c r="S73" s="3" t="inlineStr">
        <is>
          <t>해당 대상자의 육성 의견이 저장되면 즉시</t>
        </is>
      </c>
      <c r="T73" s="3" t="inlineStr">
        <is>
          <t>개발·육성 의견을 담는 필드가 따로 없음(평가 근거 요약문과 다면진단 코멘트뿐) — 신설 필요. 다면진단가 13명 한정(55건)이라 근거가 얇음 — 모수 확인 필요. 알림 조절: 개별 1건은 1차에게 먼저 뜨고, 3건 이상 모일 때만 2차 카드를 만든다</t>
        </is>
      </c>
    </row>
    <row r="74" ht="28" customHeight="1">
      <c r="A74" s="16" t="n">
        <v>72</v>
      </c>
      <c r="B74" s="17" t="inlineStr">
        <is>
          <t>피드백-상위조직장-04</t>
        </is>
      </c>
      <c r="C74" s="16" t="inlineStr">
        <is>
          <t>피드백</t>
        </is>
      </c>
      <c r="D74" s="17" t="inlineStr">
        <is>
          <t>상위 조직장(2차 평가자)</t>
        </is>
      </c>
      <c r="E74" s="16" t="inlineStr">
        <is>
          <t>T5 상황 변동</t>
        </is>
      </c>
      <c r="F74" s="17" t="inlineStr">
        <is>
          <t>-</t>
        </is>
      </c>
      <c r="G74" s="16" t="inlineStr">
        <is>
          <t>없음</t>
        </is>
      </c>
      <c r="H74" s="17" t="inlineStr">
        <is>
          <t>-</t>
        </is>
      </c>
      <c r="I74" s="17" t="inlineStr">
        <is>
          <t>-</t>
        </is>
      </c>
      <c r="J74" s="16" t="inlineStr">
        <is>
          <t>-</t>
        </is>
      </c>
      <c r="K74" s="17" t="inlineStr">
        <is>
          <t>-</t>
        </is>
      </c>
      <c r="L74" s="16" t="n">
        <v>2</v>
      </c>
      <c r="M74" s="16" t="n">
        <v>1</v>
      </c>
      <c r="N74" s="16" t="n">
        <v>2</v>
      </c>
      <c r="O74" s="16">
        <f>L74+M74+N74</f>
        <v/>
      </c>
      <c r="P74" s="16" t="inlineStr">
        <is>
          <t>제외</t>
        </is>
      </c>
      <c r="Q74" s="16" t="inlineStr">
        <is>
          <t>-</t>
        </is>
      </c>
      <c r="R74" s="17" t="inlineStr">
        <is>
          <t>-</t>
        </is>
      </c>
      <c r="S74" s="17" t="inlineStr">
        <is>
          <t>-</t>
        </is>
      </c>
      <c r="T74" s="17" t="inlineStr">
        <is>
          <t>상향 피드백이 2건뿐이고 전달·열람 기록이 없어 팀 합계 최소 건수(3건)를 채울 수 없다. 익명 수집이라 합쳐도 대상 1차 평가자를 특정하기 어려워 2차가 할 행동이 들여다보기로 끝난다(상위 전달 3조건 중 ①③ 미충족). 상향 피드백 수집 방식과 저장 위치가 정해진 뒤 재검토 필요</t>
        </is>
      </c>
    </row>
    <row r="75" ht="74" customHeight="1">
      <c r="A75" s="14" t="n">
        <v>73</v>
      </c>
      <c r="B75" s="3" t="inlineStr">
        <is>
          <t>피드백-HR경영진-01</t>
        </is>
      </c>
      <c r="C75" s="14" t="inlineStr">
        <is>
          <t>피드백</t>
        </is>
      </c>
      <c r="D75" s="3" t="inlineStr">
        <is>
          <t>HR·경영진</t>
        </is>
      </c>
      <c r="E75" s="14" t="inlineStr">
        <is>
          <t>T1 기한 도래</t>
        </is>
      </c>
      <c r="F75" s="3" t="inlineStr">
        <is>
          <t>결과 면담 기한까지 5일 이하 남았고 전사 면담 완료율이 70%에 못 미치며 완료 0건 조직이 5개 이상일 때</t>
        </is>
      </c>
      <c r="G75" s="14" t="inlineStr">
        <is>
          <t>제도 기준값</t>
        </is>
      </c>
      <c r="H75" s="3" t="inlineStr">
        <is>
          <t>피드백·면담 기한 일정; 면담 기록의 실시일과 참석자; 평가 확정 대상자 수; 조직별 대상 인원수</t>
        </is>
      </c>
      <c r="I75" s="3" t="inlineStr">
        <is>
          <t>조직별 면담 완료율; 완료 0건 조직 목록; 지난 사이클 같은 시점 완료율</t>
        </is>
      </c>
      <c r="J75" s="14" t="inlineStr">
        <is>
          <t>A3 전달</t>
        </is>
      </c>
      <c r="K75" s="3" t="inlineStr">
        <is>
          <t>기한 안내 메시지 발송 기록(보냄·받음) + 조직별 완료율 갱신 — 알림 발송 기록 신설 필요</t>
        </is>
      </c>
      <c r="L75" s="14" t="n">
        <v>3</v>
      </c>
      <c r="M75" s="14" t="n">
        <v>3</v>
      </c>
      <c r="N75" s="14" t="n">
        <v>1</v>
      </c>
      <c r="O75" s="14">
        <f>L75+M75+N75</f>
        <v/>
      </c>
      <c r="P75" s="14" t="inlineStr">
        <is>
          <t>범용</t>
        </is>
      </c>
      <c r="Q75" s="14" t="inlineStr">
        <is>
          <t>3일</t>
        </is>
      </c>
      <c r="R75" s="3" t="inlineStr">
        <is>
          <t>조직·전사 합계 기준 완료 0건 조직 5개 이상 또는 전사 완료율 70% 미만</t>
        </is>
      </c>
      <c r="S75" s="3" t="inlineStr">
        <is>
          <t>전사 완료율이 70%를 넘거나 면담 기한이 지나면</t>
        </is>
      </c>
      <c r="T75" s="3" t="inlineStr">
        <is>
          <t>피드백·면담 기한을 담은 일정 마스터가 없고 1on1·면담 합의 기록이 브라우저 80건 롤링이라 서버 보존 신설 필요 — 두 항목이 이 카드의 전제. 팀장(1차 평가자)의 팀원 면담 카드가 먼저 뜬다는 전제 아래 생성한다</t>
        </is>
      </c>
    </row>
    <row r="76" ht="74" customHeight="1">
      <c r="A76" s="14" t="n">
        <v>74</v>
      </c>
      <c r="B76" s="3" t="inlineStr">
        <is>
          <t>피드백-HR경영진-02</t>
        </is>
      </c>
      <c r="C76" s="14" t="inlineStr">
        <is>
          <t>피드백</t>
        </is>
      </c>
      <c r="D76" s="3" t="inlineStr">
        <is>
          <t>HR·경영진</t>
        </is>
      </c>
      <c r="E76" s="14" t="inlineStr">
        <is>
          <t>T2 작성 공백</t>
        </is>
      </c>
      <c r="F76" s="3" t="inlineStr">
        <is>
          <t>한 조직에서 최근 60일 동안 주고받은 피드백이 한 건도 없고 그 조직 인원이 5명 이상일 때</t>
        </is>
      </c>
      <c r="G76" s="14" t="inlineStr">
        <is>
          <t>팀 평균</t>
        </is>
      </c>
      <c r="H76" s="3" t="inlineStr">
        <is>
          <t>피드백 기록의 보낸 사람·받는 사람과 등록일; 면담 기록의 실시일; 조직별 인원수; 조직 목록</t>
        </is>
      </c>
      <c r="I76" s="3" t="inlineStr">
        <is>
          <t>조직별 피드백 건수 분포; 해당 조직의 점검·평가 기록 건수; 피드백 제도 안내 문구</t>
        </is>
      </c>
      <c r="J76" s="14" t="inlineStr">
        <is>
          <t>A6 요청</t>
        </is>
      </c>
      <c r="K76" s="3" t="inlineStr">
        <is>
          <t>피드백 면담 실시 요청 기록 + 조직별 이행 상태 — 요청 처리 이력과 피드백 보냄·받음 기록 신설 필요</t>
        </is>
      </c>
      <c r="L76" s="14" t="n">
        <v>3</v>
      </c>
      <c r="M76" s="14" t="n">
        <v>2</v>
      </c>
      <c r="N76" s="14" t="n">
        <v>2</v>
      </c>
      <c r="O76" s="14">
        <f>L76+M76+N76</f>
        <v/>
      </c>
      <c r="P76" s="14" t="inlineStr">
        <is>
          <t>고유</t>
        </is>
      </c>
      <c r="Q76" s="14" t="inlineStr">
        <is>
          <t>14일</t>
        </is>
      </c>
      <c r="R76" s="3" t="inlineStr">
        <is>
          <t>조직·전사 합계 기준 조직 인원 5명 이상이며 피드백 0건, 또는 그 조직 인원의 20% 이상이 0건</t>
        </is>
      </c>
      <c r="S76" s="3" t="inlineStr">
        <is>
          <t>해당 조직에 피드백 기록이 생기거나 요청 이행이 등록되면</t>
        </is>
      </c>
      <c r="T76" s="3" t="inlineStr">
        <is>
          <t>받은 피드백 기록 7건·상향 피드백 2건뿐이고 피드백 보냄·받음·열람 기록 자체가 없어 신설 필요. 1on1 기록도 브라우저 80건 롤링이라 서버 보존 필요. 팀장(1차 평가자)의 팀원 피드백 카드가 먼저 뜬다는 전제</t>
        </is>
      </c>
    </row>
    <row r="77" ht="74" customHeight="1">
      <c r="A77" s="14" t="n">
        <v>75</v>
      </c>
      <c r="B77" s="3" t="inlineStr">
        <is>
          <t>피드백-HR경영진-03</t>
        </is>
      </c>
      <c r="C77" s="14" t="inlineStr">
        <is>
          <t>피드백</t>
        </is>
      </c>
      <c r="D77" s="3" t="inlineStr">
        <is>
          <t>HR·경영진</t>
        </is>
      </c>
      <c r="E77" s="14" t="inlineStr">
        <is>
          <t>T3 기준 이탈</t>
        </is>
      </c>
      <c r="F77" s="3" t="inlineStr">
        <is>
          <t>다면진단 기간에 한 조직의 제출률이 제도 기준인 80%에 못 미치고 미제출자가 5명 이상일 때</t>
        </is>
      </c>
      <c r="G77" s="14" t="inlineStr">
        <is>
          <t>제도 기준값</t>
        </is>
      </c>
      <c r="H77" s="3" t="inlineStr">
        <is>
          <t>다면진단의 제출 여부와 제출일; 다면 대상 인원 명단; 조직별 인원수; 다면진단 기간 일정</t>
        </is>
      </c>
      <c r="I77" s="3" t="inlineStr">
        <is>
          <t>조직별 제출률과 남은 건수; 미제출이 몰린 조직 목록; 지난 사이클 제출률</t>
        </is>
      </c>
      <c r="J77" s="14" t="inlineStr">
        <is>
          <t>A3 전달</t>
        </is>
      </c>
      <c r="K77" s="3" t="inlineStr">
        <is>
          <t>참여 독려 메시지 발송 기록(보냄·받음) + 조직별 제출률 갱신 — 알림 발송 기록 신설 필요</t>
        </is>
      </c>
      <c r="L77" s="14" t="n">
        <v>2</v>
      </c>
      <c r="M77" s="14" t="n">
        <v>2</v>
      </c>
      <c r="N77" s="14" t="n">
        <v>2</v>
      </c>
      <c r="O77" s="14">
        <f>L77+M77+N77</f>
        <v/>
      </c>
      <c r="P77" s="14" t="inlineStr">
        <is>
          <t>고유</t>
        </is>
      </c>
      <c r="Q77" s="14" t="inlineStr">
        <is>
          <t>14일</t>
        </is>
      </c>
      <c r="R77" s="3" t="inlineStr">
        <is>
          <t>조직·전사 합계 기준 조직당 미제출 5명 이상 또는 그 조직 인원의 20% 이상</t>
        </is>
      </c>
      <c r="S77" s="3" t="inlineStr">
        <is>
          <t>해당 조직 제출률이 80%를 넘거나 다면 기간이 끝나면</t>
        </is>
      </c>
      <c r="T77" s="3" t="inlineStr">
        <is>
          <t>다면(피어) 리뷰 55건이 13명 한정이고 다면진단 제출 결과가 현 데모에서 어디에도 저장되지 않아 제출 여부 저장 위치 확인·신설 필요. 다면진단 기간 일정도 없음</t>
        </is>
      </c>
    </row>
    <row r="78" ht="74" customHeight="1">
      <c r="A78" s="14" t="n">
        <v>76</v>
      </c>
      <c r="B78" s="3" t="inlineStr">
        <is>
          <t>피드백-HR경영진-04</t>
        </is>
      </c>
      <c r="C78" s="14" t="inlineStr">
        <is>
          <t>피드백</t>
        </is>
      </c>
      <c r="D78" s="3" t="inlineStr">
        <is>
          <t>HR·경영진</t>
        </is>
      </c>
      <c r="E78" s="14" t="inlineStr">
        <is>
          <t>T4 연결 불일치</t>
        </is>
      </c>
      <c r="F78" s="3" t="inlineStr">
        <is>
          <t>한 조직에서 하위 등급을 받은 사람 가운데 개발 코멘트나 면담 기록이 남지 않은 비율이 50% 이상이고 그 인원이 5명 이상일 때</t>
        </is>
      </c>
      <c r="G78" s="14" t="inlineStr">
        <is>
          <t>팀 평균</t>
        </is>
      </c>
      <c r="H78" s="3" t="inlineStr">
        <is>
          <t>평가의 등급; 평가 근거 요약문과 개발 코멘트; 다면진단의 개발 코멘트; 면담 기록의 실시 여부; 대상자 소속조직</t>
        </is>
      </c>
      <c r="I78" s="3" t="inlineStr">
        <is>
          <t>조직별 하위 등급 인원과 코멘트 누락 건수; 인용할 수 있는 점검·다면 기록; 결과 면담 안내 문구</t>
        </is>
      </c>
      <c r="J78" s="14" t="inlineStr">
        <is>
          <t>A6 요청</t>
        </is>
      </c>
      <c r="K78" s="3" t="inlineStr">
        <is>
          <t>면담·코멘트 보완 요청 기록 + 조직별 이행 상태 — 요청 처리 이력과 면담 기록 서버 보존 신설 필요</t>
        </is>
      </c>
      <c r="L78" s="14" t="n">
        <v>3</v>
      </c>
      <c r="M78" s="14" t="n">
        <v>2</v>
      </c>
      <c r="N78" s="14" t="n">
        <v>3</v>
      </c>
      <c r="O78" s="14">
        <f>L78+M78+N78</f>
        <v/>
      </c>
      <c r="P78" s="14" t="inlineStr">
        <is>
          <t>고유</t>
        </is>
      </c>
      <c r="Q78" s="14" t="inlineStr">
        <is>
          <t>14일</t>
        </is>
      </c>
      <c r="R78" s="3" t="inlineStr">
        <is>
          <t>조직·전사 합계 기준 조직당 대상 5명 이상 또는 그 조직 하위 등급 인원의 50% 이상</t>
        </is>
      </c>
      <c r="S78" s="3" t="inlineStr">
        <is>
          <t>해당 조직의 코멘트 누락이 기준 아래로 줄어들거나 면담 기록이 등록되면</t>
        </is>
      </c>
      <c r="T78" s="3" t="inlineStr">
        <is>
          <t>등급은 평가 221건에 있으나 개발 코멘트는 다면진단 55건(13명)에만 있고 면담 기록은 브라우저 80건 롤링이라 두 원천의 서버 보존과 연결 확인 필요. 개인 이름은 카드에 노출하지 않고 조직 단위 건수만 보여준다. 팀장(1차 평가자)이 팀원별 면담 카드를 먼저 받는다는 전제</t>
        </is>
      </c>
    </row>
  </sheetData>
  <autoFilter ref="A2:T78"/>
  <mergeCells count="3">
    <mergeCell ref="A1:I1"/>
    <mergeCell ref="J1:K1"/>
    <mergeCell ref="L1:T1"/>
  </mergeCells>
  <conditionalFormatting sqref="A3:T78">
    <cfRule type="expression" priority="1" dxfId="1">
      <formula>$P3="제외"</formula>
    </cfRule>
  </conditionalFormatting>
  <conditionalFormatting sqref="K3:K78">
    <cfRule type="expression" priority="2" dxfId="2">
      <formula>AND($P3&lt;&gt;"제외",LEN($K3)=0)</formula>
    </cfRule>
  </conditionalFormatting>
  <conditionalFormatting sqref="T3:T78">
    <cfRule type="expression" priority="3" dxfId="3">
      <formula>LEN($T3)&gt;0</formula>
    </cfRule>
  </conditionalFormatting>
  <dataValidations count="6">
    <dataValidation sqref="C3:C78" showDropDown="0" showInputMessage="0" showErrorMessage="0" allowBlank="1" type="list">
      <formula1>"목표수립,중간점검,평가,피드백"</formula1>
    </dataValidation>
    <dataValidation sqref="D3:D78" showDropDown="0" showInputMessage="0" showErrorMessage="0" allowBlank="1" type="list">
      <formula1>"구성원,팀장(1차 평가자),상위 조직장(2차 평가자),HR·경영진"</formula1>
    </dataValidation>
    <dataValidation sqref="E3:E78" showDropDown="0" showInputMessage="0" showErrorMessage="0" allowBlank="1" type="list">
      <formula1>"T1 기한 도래,T2 작성 공백,T3 기준 이탈,T4 연결 불일치,T5 상황 변동"</formula1>
    </dataValidation>
    <dataValidation sqref="G3:G78" showDropDown="0" showInputMessage="0" showErrorMessage="0" allowBlank="1" type="list">
      <formula1>"본인 예전 기록,팀 평균,계획 대비,제도 기준값,없음,-"</formula1>
    </dataValidation>
    <dataValidation sqref="J3:J78" showDropDown="0" showInputMessage="0" showErrorMessage="0" allowBlank="1" type="list">
      <formula1>"A1 작성,A2 수정,A3 전달,A4 면담,A5 확인,A6 요청,-"</formula1>
    </dataValidation>
    <dataValidation sqref="P3:P78" showDropDown="0" showInputMessage="0" showErrorMessage="0" allowBlank="1" type="list">
      <formula1>"범용,고유,제외"</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B2:O47"/>
  <sheetViews>
    <sheetView showGridLines="0" workbookViewId="0">
      <selection activeCell="A1" sqref="A1"/>
    </sheetView>
  </sheetViews>
  <sheetFormatPr baseColWidth="8" defaultRowHeight="15"/>
  <cols>
    <col width="2" customWidth="1" min="1" max="1"/>
    <col width="13" customWidth="1" min="2" max="2"/>
    <col width="20" customWidth="1" min="3" max="3"/>
    <col width="13" customWidth="1" min="4" max="4"/>
    <col width="13" customWidth="1" min="5" max="5"/>
    <col width="13" customWidth="1" min="6" max="6"/>
    <col width="13" customWidth="1" min="7" max="7"/>
    <col width="13" customWidth="1" min="8" max="8"/>
    <col width="13" customWidth="1" min="9" max="9"/>
    <col width="7" customWidth="1" min="10" max="10"/>
    <col width="7" customWidth="1" min="11" max="11"/>
    <col width="7" customWidth="1" min="12" max="12"/>
    <col width="7" customWidth="1" min="13" max="13"/>
    <col width="7" customWidth="1" min="14" max="14"/>
    <col width="40" customWidth="1" min="15" max="15"/>
  </cols>
  <sheetData>
    <row r="2">
      <c r="B2" s="1" t="inlineStr">
        <is>
          <t>04 영역 점검 — 16개 영역이 얼마나 채워졌나</t>
        </is>
      </c>
    </row>
    <row r="3">
      <c r="B3" s="11" t="inlineStr">
        <is>
          <t>4단계 × 4수신대상 = 16개 영역. 영역별 목표 = 범용 1개 + 고유 1개 이상. 숫자는 03_발생조건에서 자동 집계된다(미채택은 세지 않는다).</t>
        </is>
      </c>
    </row>
    <row r="5">
      <c r="B5" s="2" t="inlineStr">
        <is>
          <t>단계 \ 수신 대상</t>
        </is>
      </c>
      <c r="C5" s="7" t="inlineStr">
        <is>
          <t>구성원</t>
        </is>
      </c>
      <c r="D5" s="8" t="n"/>
      <c r="E5" s="9" t="n"/>
      <c r="F5" s="7" t="inlineStr">
        <is>
          <t>팀장(1차 평가자)</t>
        </is>
      </c>
      <c r="G5" s="8" t="n"/>
      <c r="H5" s="9" t="n"/>
      <c r="I5" s="7" t="inlineStr">
        <is>
          <t>상위 조직장(2차 평가자)</t>
        </is>
      </c>
      <c r="J5" s="8" t="n"/>
      <c r="K5" s="9" t="n"/>
      <c r="L5" s="7" t="inlineStr">
        <is>
          <t>HR·경영진</t>
        </is>
      </c>
      <c r="M5" s="8" t="n"/>
      <c r="N5" s="9" t="n"/>
      <c r="O5" s="22" t="inlineStr">
        <is>
          <t>못 채운 곳</t>
        </is>
      </c>
    </row>
    <row r="6">
      <c r="B6" s="23" t="n"/>
      <c r="C6" s="2" t="inlineStr">
        <is>
          <t>건수</t>
        </is>
      </c>
      <c r="D6" s="2" t="inlineStr">
        <is>
          <t>범용</t>
        </is>
      </c>
      <c r="E6" s="2" t="inlineStr">
        <is>
          <t>고유</t>
        </is>
      </c>
      <c r="F6" s="2" t="inlineStr">
        <is>
          <t>건수</t>
        </is>
      </c>
      <c r="G6" s="2" t="inlineStr">
        <is>
          <t>범용</t>
        </is>
      </c>
      <c r="H6" s="2" t="inlineStr">
        <is>
          <t>고유</t>
        </is>
      </c>
      <c r="I6" s="2" t="inlineStr">
        <is>
          <t>건수</t>
        </is>
      </c>
      <c r="J6" s="2" t="inlineStr">
        <is>
          <t>범용</t>
        </is>
      </c>
      <c r="K6" s="2" t="inlineStr">
        <is>
          <t>고유</t>
        </is>
      </c>
      <c r="L6" s="2" t="inlineStr">
        <is>
          <t>건수</t>
        </is>
      </c>
      <c r="M6" s="2" t="inlineStr">
        <is>
          <t>범용</t>
        </is>
      </c>
      <c r="N6" s="2" t="inlineStr">
        <is>
          <t>고유</t>
        </is>
      </c>
      <c r="O6" s="23" t="n"/>
    </row>
    <row r="7" ht="20" customHeight="1">
      <c r="B7" s="24" t="inlineStr">
        <is>
          <t>목표수립</t>
        </is>
      </c>
      <c r="C7" s="25">
        <f>COUNTIFS('03_발생조건'!C3:C78,"목표수립",'03_발생조건'!D3:D78,"구성원",'03_발생조건'!P3:P78,"&lt;&gt;제외")</f>
        <v/>
      </c>
      <c r="D7" s="25">
        <f>COUNTIFS('03_발생조건'!C3:C78,"목표수립",'03_발생조건'!D3:D78,"구성원",'03_발생조건'!P3:P78,"범용")</f>
        <v/>
      </c>
      <c r="E7" s="25">
        <f>COUNTIFS('03_발생조건'!C3:C78,"목표수립",'03_발생조건'!D3:D78,"구성원",'03_발생조건'!P3:P78,"고유")</f>
        <v/>
      </c>
      <c r="F7" s="25">
        <f>COUNTIFS('03_발생조건'!C3:C78,"목표수립",'03_발생조건'!D3:D78,"팀장(1차 평가자)",'03_발생조건'!P3:P78,"&lt;&gt;제외")</f>
        <v/>
      </c>
      <c r="G7" s="25">
        <f>COUNTIFS('03_발생조건'!C3:C78,"목표수립",'03_발생조건'!D3:D78,"팀장(1차 평가자)",'03_발생조건'!P3:P78,"범용")</f>
        <v/>
      </c>
      <c r="H7" s="25">
        <f>COUNTIFS('03_발생조건'!C3:C78,"목표수립",'03_발생조건'!D3:D78,"팀장(1차 평가자)",'03_발생조건'!P3:P78,"고유")</f>
        <v/>
      </c>
      <c r="I7" s="25">
        <f>COUNTIFS('03_발생조건'!C3:C78,"목표수립",'03_발생조건'!D3:D78,"상위 조직장(2차 평가자)",'03_발생조건'!P3:P78,"&lt;&gt;제외")</f>
        <v/>
      </c>
      <c r="J7" s="25">
        <f>COUNTIFS('03_발생조건'!C3:C78,"목표수립",'03_발생조건'!D3:D78,"상위 조직장(2차 평가자)",'03_발생조건'!P3:P78,"범용")</f>
        <v/>
      </c>
      <c r="K7" s="25">
        <f>COUNTIFS('03_발생조건'!C3:C78,"목표수립",'03_발생조건'!D3:D78,"상위 조직장(2차 평가자)",'03_발생조건'!P3:P78,"고유")</f>
        <v/>
      </c>
      <c r="L7" s="25">
        <f>COUNTIFS('03_발생조건'!C3:C78,"목표수립",'03_발생조건'!D3:D78,"HR·경영진",'03_발생조건'!P3:P78,"&lt;&gt;제외")</f>
        <v/>
      </c>
      <c r="M7" s="25">
        <f>COUNTIFS('03_발생조건'!C3:C78,"목표수립",'03_발생조건'!D3:D78,"HR·경영진",'03_발생조건'!P3:P78,"범용")</f>
        <v/>
      </c>
      <c r="N7" s="25">
        <f>COUNTIFS('03_발생조건'!C3:C78,"목표수립",'03_발생조건'!D3:D78,"HR·경영진",'03_발생조건'!P3:P78,"고유")</f>
        <v/>
      </c>
      <c r="O7" s="26">
        <f>TRIM(CONCATENATE(IF(OR(D7=0,E7=0),"구성원 ",""),IF(OR(G7=0,H7=0),"팀장(1차 평가자) ",""),IF(OR(J7=0,K7=0),"상위 조직장(2차 평가자) ",""),IF(OR(M7=0,N7=0),"HR·경영진 ","")))</f>
        <v/>
      </c>
    </row>
    <row r="8" ht="20" customHeight="1">
      <c r="B8" s="24" t="inlineStr">
        <is>
          <t>중간점검</t>
        </is>
      </c>
      <c r="C8" s="25">
        <f>COUNTIFS('03_발생조건'!C3:C78,"중간점검",'03_발생조건'!D3:D78,"구성원",'03_발생조건'!P3:P78,"&lt;&gt;제외")</f>
        <v/>
      </c>
      <c r="D8" s="25">
        <f>COUNTIFS('03_발생조건'!C3:C78,"중간점검",'03_발생조건'!D3:D78,"구성원",'03_발생조건'!P3:P78,"범용")</f>
        <v/>
      </c>
      <c r="E8" s="25">
        <f>COUNTIFS('03_발생조건'!C3:C78,"중간점검",'03_발생조건'!D3:D78,"구성원",'03_발생조건'!P3:P78,"고유")</f>
        <v/>
      </c>
      <c r="F8" s="25">
        <f>COUNTIFS('03_발생조건'!C3:C78,"중간점검",'03_발생조건'!D3:D78,"팀장(1차 평가자)",'03_발생조건'!P3:P78,"&lt;&gt;제외")</f>
        <v/>
      </c>
      <c r="G8" s="25">
        <f>COUNTIFS('03_발생조건'!C3:C78,"중간점검",'03_발생조건'!D3:D78,"팀장(1차 평가자)",'03_발생조건'!P3:P78,"범용")</f>
        <v/>
      </c>
      <c r="H8" s="25">
        <f>COUNTIFS('03_발생조건'!C3:C78,"중간점검",'03_발생조건'!D3:D78,"팀장(1차 평가자)",'03_발생조건'!P3:P78,"고유")</f>
        <v/>
      </c>
      <c r="I8" s="25">
        <f>COUNTIFS('03_발생조건'!C3:C78,"중간점검",'03_발생조건'!D3:D78,"상위 조직장(2차 평가자)",'03_발생조건'!P3:P78,"&lt;&gt;제외")</f>
        <v/>
      </c>
      <c r="J8" s="25">
        <f>COUNTIFS('03_발생조건'!C3:C78,"중간점검",'03_발생조건'!D3:D78,"상위 조직장(2차 평가자)",'03_발생조건'!P3:P78,"범용")</f>
        <v/>
      </c>
      <c r="K8" s="25">
        <f>COUNTIFS('03_발생조건'!C3:C78,"중간점검",'03_발생조건'!D3:D78,"상위 조직장(2차 평가자)",'03_발생조건'!P3:P78,"고유")</f>
        <v/>
      </c>
      <c r="L8" s="25">
        <f>COUNTIFS('03_발생조건'!C3:C78,"중간점검",'03_발생조건'!D3:D78,"HR·경영진",'03_발생조건'!P3:P78,"&lt;&gt;제외")</f>
        <v/>
      </c>
      <c r="M8" s="25">
        <f>COUNTIFS('03_발생조건'!C3:C78,"중간점검",'03_발생조건'!D3:D78,"HR·경영진",'03_발생조건'!P3:P78,"범용")</f>
        <v/>
      </c>
      <c r="N8" s="25">
        <f>COUNTIFS('03_발생조건'!C3:C78,"중간점검",'03_발생조건'!D3:D78,"HR·경영진",'03_발생조건'!P3:P78,"고유")</f>
        <v/>
      </c>
      <c r="O8" s="26">
        <f>TRIM(CONCATENATE(IF(OR(D8=0,E8=0),"구성원 ",""),IF(OR(G8=0,H8=0),"팀장(1차 평가자) ",""),IF(OR(J8=0,K8=0),"상위 조직장(2차 평가자) ",""),IF(OR(M8=0,N8=0),"HR·경영진 ","")))</f>
        <v/>
      </c>
    </row>
    <row r="9" ht="20" customHeight="1">
      <c r="B9" s="24" t="inlineStr">
        <is>
          <t>평가</t>
        </is>
      </c>
      <c r="C9" s="25">
        <f>COUNTIFS('03_발생조건'!C3:C78,"평가",'03_발생조건'!D3:D78,"구성원",'03_발생조건'!P3:P78,"&lt;&gt;제외")</f>
        <v/>
      </c>
      <c r="D9" s="25">
        <f>COUNTIFS('03_발생조건'!C3:C78,"평가",'03_발생조건'!D3:D78,"구성원",'03_발생조건'!P3:P78,"범용")</f>
        <v/>
      </c>
      <c r="E9" s="25">
        <f>COUNTIFS('03_발생조건'!C3:C78,"평가",'03_발생조건'!D3:D78,"구성원",'03_발생조건'!P3:P78,"고유")</f>
        <v/>
      </c>
      <c r="F9" s="25">
        <f>COUNTIFS('03_발생조건'!C3:C78,"평가",'03_발생조건'!D3:D78,"팀장(1차 평가자)",'03_발생조건'!P3:P78,"&lt;&gt;제외")</f>
        <v/>
      </c>
      <c r="G9" s="25">
        <f>COUNTIFS('03_발생조건'!C3:C78,"평가",'03_발생조건'!D3:D78,"팀장(1차 평가자)",'03_발생조건'!P3:P78,"범용")</f>
        <v/>
      </c>
      <c r="H9" s="25">
        <f>COUNTIFS('03_발생조건'!C3:C78,"평가",'03_발생조건'!D3:D78,"팀장(1차 평가자)",'03_발생조건'!P3:P78,"고유")</f>
        <v/>
      </c>
      <c r="I9" s="25">
        <f>COUNTIFS('03_발생조건'!C3:C78,"평가",'03_발생조건'!D3:D78,"상위 조직장(2차 평가자)",'03_발생조건'!P3:P78,"&lt;&gt;제외")</f>
        <v/>
      </c>
      <c r="J9" s="25">
        <f>COUNTIFS('03_발생조건'!C3:C78,"평가",'03_발생조건'!D3:D78,"상위 조직장(2차 평가자)",'03_발생조건'!P3:P78,"범용")</f>
        <v/>
      </c>
      <c r="K9" s="25">
        <f>COUNTIFS('03_발생조건'!C3:C78,"평가",'03_발생조건'!D3:D78,"상위 조직장(2차 평가자)",'03_발생조건'!P3:P78,"고유")</f>
        <v/>
      </c>
      <c r="L9" s="25">
        <f>COUNTIFS('03_발생조건'!C3:C78,"평가",'03_발생조건'!D3:D78,"HR·경영진",'03_발생조건'!P3:P78,"&lt;&gt;제외")</f>
        <v/>
      </c>
      <c r="M9" s="25">
        <f>COUNTIFS('03_발생조건'!C3:C78,"평가",'03_발생조건'!D3:D78,"HR·경영진",'03_발생조건'!P3:P78,"범용")</f>
        <v/>
      </c>
      <c r="N9" s="25">
        <f>COUNTIFS('03_발생조건'!C3:C78,"평가",'03_발생조건'!D3:D78,"HR·경영진",'03_발생조건'!P3:P78,"고유")</f>
        <v/>
      </c>
      <c r="O9" s="26">
        <f>TRIM(CONCATENATE(IF(OR(D9=0,E9=0),"구성원 ",""),IF(OR(G9=0,H9=0),"팀장(1차 평가자) ",""),IF(OR(J9=0,K9=0),"상위 조직장(2차 평가자) ",""),IF(OR(M9=0,N9=0),"HR·경영진 ","")))</f>
        <v/>
      </c>
    </row>
    <row r="10" ht="20" customHeight="1">
      <c r="B10" s="24" t="inlineStr">
        <is>
          <t>피드백</t>
        </is>
      </c>
      <c r="C10" s="25">
        <f>COUNTIFS('03_발생조건'!C3:C78,"피드백",'03_발생조건'!D3:D78,"구성원",'03_발생조건'!P3:P78,"&lt;&gt;제외")</f>
        <v/>
      </c>
      <c r="D10" s="25">
        <f>COUNTIFS('03_발생조건'!C3:C78,"피드백",'03_발생조건'!D3:D78,"구성원",'03_발생조건'!P3:P78,"범용")</f>
        <v/>
      </c>
      <c r="E10" s="25">
        <f>COUNTIFS('03_발생조건'!C3:C78,"피드백",'03_발생조건'!D3:D78,"구성원",'03_발생조건'!P3:P78,"고유")</f>
        <v/>
      </c>
      <c r="F10" s="25">
        <f>COUNTIFS('03_발생조건'!C3:C78,"피드백",'03_발생조건'!D3:D78,"팀장(1차 평가자)",'03_발생조건'!P3:P78,"&lt;&gt;제외")</f>
        <v/>
      </c>
      <c r="G10" s="25">
        <f>COUNTIFS('03_발생조건'!C3:C78,"피드백",'03_발생조건'!D3:D78,"팀장(1차 평가자)",'03_발생조건'!P3:P78,"범용")</f>
        <v/>
      </c>
      <c r="H10" s="25">
        <f>COUNTIFS('03_발생조건'!C3:C78,"피드백",'03_발생조건'!D3:D78,"팀장(1차 평가자)",'03_발생조건'!P3:P78,"고유")</f>
        <v/>
      </c>
      <c r="I10" s="25">
        <f>COUNTIFS('03_발생조건'!C3:C78,"피드백",'03_발생조건'!D3:D78,"상위 조직장(2차 평가자)",'03_발생조건'!P3:P78,"&lt;&gt;제외")</f>
        <v/>
      </c>
      <c r="J10" s="25">
        <f>COUNTIFS('03_발생조건'!C3:C78,"피드백",'03_발생조건'!D3:D78,"상위 조직장(2차 평가자)",'03_발생조건'!P3:P78,"범용")</f>
        <v/>
      </c>
      <c r="K10" s="25">
        <f>COUNTIFS('03_발생조건'!C3:C78,"피드백",'03_발생조건'!D3:D78,"상위 조직장(2차 평가자)",'03_발생조건'!P3:P78,"고유")</f>
        <v/>
      </c>
      <c r="L10" s="25">
        <f>COUNTIFS('03_발생조건'!C3:C78,"피드백",'03_발생조건'!D3:D78,"HR·경영진",'03_발생조건'!P3:P78,"&lt;&gt;제외")</f>
        <v/>
      </c>
      <c r="M10" s="25">
        <f>COUNTIFS('03_발생조건'!C3:C78,"피드백",'03_발생조건'!D3:D78,"HR·경영진",'03_발생조건'!P3:P78,"범용")</f>
        <v/>
      </c>
      <c r="N10" s="25">
        <f>COUNTIFS('03_발생조건'!C3:C78,"피드백",'03_발생조건'!D3:D78,"HR·경영진",'03_발생조건'!P3:P78,"고유")</f>
        <v/>
      </c>
      <c r="O10" s="26">
        <f>TRIM(CONCATENATE(IF(OR(D10=0,E10=0),"구성원 ",""),IF(OR(G10=0,H10=0),"팀장(1차 평가자) ",""),IF(OR(J10=0,K10=0),"상위 조직장(2차 평가자) ",""),IF(OR(M10=0,N10=0),"HR·경영진 ","")))</f>
        <v/>
      </c>
    </row>
    <row r="13">
      <c r="B13" s="4" t="inlineStr">
        <is>
          <t>16개 영역 × 신호 유형 5종 = 80개 점검 지점</t>
        </is>
      </c>
    </row>
    <row r="14">
      <c r="B14" s="11" t="inlineStr">
        <is>
          <t>숫자 = 채택된 카드 수. 0은 살펴봤으나 만들지 않았다는 뜻이며, 이유는 아래 표에 있다.</t>
        </is>
      </c>
    </row>
    <row r="15" ht="26" customHeight="1">
      <c r="B15" s="2" t="inlineStr">
        <is>
          <t>단계</t>
        </is>
      </c>
      <c r="C15" s="2" t="inlineStr">
        <is>
          <t>수신 대상</t>
        </is>
      </c>
      <c r="D15" s="7" t="inlineStr">
        <is>
          <t>T1 기한 도래</t>
        </is>
      </c>
      <c r="E15" s="7" t="inlineStr">
        <is>
          <t>T2 작성 공백</t>
        </is>
      </c>
      <c r="F15" s="7" t="inlineStr">
        <is>
          <t>T3 기준 이탈</t>
        </is>
      </c>
      <c r="G15" s="7" t="inlineStr">
        <is>
          <t>T4 연결 불일치</t>
        </is>
      </c>
      <c r="H15" s="7" t="inlineStr">
        <is>
          <t>T5 상황 변동</t>
        </is>
      </c>
      <c r="I15" s="7" t="inlineStr">
        <is>
          <t>소계</t>
        </is>
      </c>
    </row>
    <row r="16">
      <c r="B16" s="27" t="inlineStr">
        <is>
          <t>목표수립</t>
        </is>
      </c>
      <c r="C16" s="27" t="inlineStr">
        <is>
          <t>구성원</t>
        </is>
      </c>
      <c r="D16" s="25">
        <f>COUNTIFS('03_발생조건'!C3:C78,"목표수립",'03_발생조건'!D3:D78,"구성원",'03_발생조건'!E3:E78,"T1 기한 도래",'03_발생조건'!P3:P78,"&lt;&gt;제외")</f>
        <v/>
      </c>
      <c r="E16" s="25">
        <f>COUNTIFS('03_발생조건'!C3:C78,"목표수립",'03_발생조건'!D3:D78,"구성원",'03_발생조건'!E3:E78,"T2 작성 공백",'03_발생조건'!P3:P78,"&lt;&gt;제외")</f>
        <v/>
      </c>
      <c r="F16" s="25">
        <f>COUNTIFS('03_발생조건'!C3:C78,"목표수립",'03_발생조건'!D3:D78,"구성원",'03_발생조건'!E3:E78,"T3 기준 이탈",'03_발생조건'!P3:P78,"&lt;&gt;제외")</f>
        <v/>
      </c>
      <c r="G16" s="25">
        <f>COUNTIFS('03_발생조건'!C3:C78,"목표수립",'03_발생조건'!D3:D78,"구성원",'03_발생조건'!E3:E78,"T4 연결 불일치",'03_발생조건'!P3:P78,"&lt;&gt;제외")</f>
        <v/>
      </c>
      <c r="H16" s="25">
        <f>COUNTIFS('03_발생조건'!C3:C78,"목표수립",'03_발생조건'!D3:D78,"구성원",'03_발생조건'!E3:E78,"T5 상황 변동",'03_발생조건'!P3:P78,"&lt;&gt;제외")</f>
        <v/>
      </c>
      <c r="I16" s="25">
        <f>SUM(D16:H16)</f>
        <v/>
      </c>
    </row>
    <row r="17">
      <c r="B17" s="27" t="inlineStr">
        <is>
          <t>목표수립</t>
        </is>
      </c>
      <c r="C17" s="27" t="inlineStr">
        <is>
          <t>팀장(1차 평가자)</t>
        </is>
      </c>
      <c r="D17" s="25">
        <f>COUNTIFS('03_발생조건'!C3:C78,"목표수립",'03_발생조건'!D3:D78,"팀장(1차 평가자)",'03_발생조건'!E3:E78,"T1 기한 도래",'03_발생조건'!P3:P78,"&lt;&gt;제외")</f>
        <v/>
      </c>
      <c r="E17" s="25">
        <f>COUNTIFS('03_발생조건'!C3:C78,"목표수립",'03_발생조건'!D3:D78,"팀장(1차 평가자)",'03_발생조건'!E3:E78,"T2 작성 공백",'03_발생조건'!P3:P78,"&lt;&gt;제외")</f>
        <v/>
      </c>
      <c r="F17" s="25">
        <f>COUNTIFS('03_발생조건'!C3:C78,"목표수립",'03_발생조건'!D3:D78,"팀장(1차 평가자)",'03_발생조건'!E3:E78,"T3 기준 이탈",'03_발생조건'!P3:P78,"&lt;&gt;제외")</f>
        <v/>
      </c>
      <c r="G17" s="25">
        <f>COUNTIFS('03_발생조건'!C3:C78,"목표수립",'03_발생조건'!D3:D78,"팀장(1차 평가자)",'03_발생조건'!E3:E78,"T4 연결 불일치",'03_발생조건'!P3:P78,"&lt;&gt;제외")</f>
        <v/>
      </c>
      <c r="H17" s="25">
        <f>COUNTIFS('03_발생조건'!C3:C78,"목표수립",'03_발생조건'!D3:D78,"팀장(1차 평가자)",'03_발생조건'!E3:E78,"T5 상황 변동",'03_발생조건'!P3:P78,"&lt;&gt;제외")</f>
        <v/>
      </c>
      <c r="I17" s="25">
        <f>SUM(D17:H17)</f>
        <v/>
      </c>
    </row>
    <row r="18">
      <c r="B18" s="27" t="inlineStr">
        <is>
          <t>목표수립</t>
        </is>
      </c>
      <c r="C18" s="27" t="inlineStr">
        <is>
          <t>상위 조직장(2차 평가자)</t>
        </is>
      </c>
      <c r="D18" s="25">
        <f>COUNTIFS('03_발생조건'!C3:C78,"목표수립",'03_발생조건'!D3:D78,"상위 조직장(2차 평가자)",'03_발생조건'!E3:E78,"T1 기한 도래",'03_발생조건'!P3:P78,"&lt;&gt;제외")</f>
        <v/>
      </c>
      <c r="E18" s="25">
        <f>COUNTIFS('03_발생조건'!C3:C78,"목표수립",'03_발생조건'!D3:D78,"상위 조직장(2차 평가자)",'03_발생조건'!E3:E78,"T2 작성 공백",'03_발생조건'!P3:P78,"&lt;&gt;제외")</f>
        <v/>
      </c>
      <c r="F18" s="25">
        <f>COUNTIFS('03_발생조건'!C3:C78,"목표수립",'03_발생조건'!D3:D78,"상위 조직장(2차 평가자)",'03_발생조건'!E3:E78,"T3 기준 이탈",'03_발생조건'!P3:P78,"&lt;&gt;제외")</f>
        <v/>
      </c>
      <c r="G18" s="25">
        <f>COUNTIFS('03_발생조건'!C3:C78,"목표수립",'03_발생조건'!D3:D78,"상위 조직장(2차 평가자)",'03_발생조건'!E3:E78,"T4 연결 불일치",'03_발생조건'!P3:P78,"&lt;&gt;제외")</f>
        <v/>
      </c>
      <c r="H18" s="25">
        <f>COUNTIFS('03_발생조건'!C3:C78,"목표수립",'03_발생조건'!D3:D78,"상위 조직장(2차 평가자)",'03_발생조건'!E3:E78,"T5 상황 변동",'03_발생조건'!P3:P78,"&lt;&gt;제외")</f>
        <v/>
      </c>
      <c r="I18" s="25">
        <f>SUM(D18:H18)</f>
        <v/>
      </c>
    </row>
    <row r="19">
      <c r="B19" s="27" t="inlineStr">
        <is>
          <t>목표수립</t>
        </is>
      </c>
      <c r="C19" s="27" t="inlineStr">
        <is>
          <t>HR·경영진</t>
        </is>
      </c>
      <c r="D19" s="25">
        <f>COUNTIFS('03_발생조건'!C3:C78,"목표수립",'03_발생조건'!D3:D78,"HR·경영진",'03_발생조건'!E3:E78,"T1 기한 도래",'03_발생조건'!P3:P78,"&lt;&gt;제외")</f>
        <v/>
      </c>
      <c r="E19" s="25">
        <f>COUNTIFS('03_발생조건'!C3:C78,"목표수립",'03_발생조건'!D3:D78,"HR·경영진",'03_발생조건'!E3:E78,"T2 작성 공백",'03_발생조건'!P3:P78,"&lt;&gt;제외")</f>
        <v/>
      </c>
      <c r="F19" s="25">
        <f>COUNTIFS('03_발생조건'!C3:C78,"목표수립",'03_발생조건'!D3:D78,"HR·경영진",'03_발생조건'!E3:E78,"T3 기준 이탈",'03_발생조건'!P3:P78,"&lt;&gt;제외")</f>
        <v/>
      </c>
      <c r="G19" s="25">
        <f>COUNTIFS('03_발생조건'!C3:C78,"목표수립",'03_발생조건'!D3:D78,"HR·경영진",'03_발생조건'!E3:E78,"T4 연결 불일치",'03_발생조건'!P3:P78,"&lt;&gt;제외")</f>
        <v/>
      </c>
      <c r="H19" s="25">
        <f>COUNTIFS('03_발생조건'!C3:C78,"목표수립",'03_발생조건'!D3:D78,"HR·경영진",'03_발생조건'!E3:E78,"T5 상황 변동",'03_발생조건'!P3:P78,"&lt;&gt;제외")</f>
        <v/>
      </c>
      <c r="I19" s="25">
        <f>SUM(D19:H19)</f>
        <v/>
      </c>
    </row>
    <row r="20">
      <c r="B20" s="27" t="inlineStr">
        <is>
          <t>중간점검</t>
        </is>
      </c>
      <c r="C20" s="27" t="inlineStr">
        <is>
          <t>구성원</t>
        </is>
      </c>
      <c r="D20" s="25">
        <f>COUNTIFS('03_발생조건'!C3:C78,"중간점검",'03_발생조건'!D3:D78,"구성원",'03_발생조건'!E3:E78,"T1 기한 도래",'03_발생조건'!P3:P78,"&lt;&gt;제외")</f>
        <v/>
      </c>
      <c r="E20" s="25">
        <f>COUNTIFS('03_발생조건'!C3:C78,"중간점검",'03_발생조건'!D3:D78,"구성원",'03_발생조건'!E3:E78,"T2 작성 공백",'03_발생조건'!P3:P78,"&lt;&gt;제외")</f>
        <v/>
      </c>
      <c r="F20" s="25">
        <f>COUNTIFS('03_발생조건'!C3:C78,"중간점검",'03_발생조건'!D3:D78,"구성원",'03_발생조건'!E3:E78,"T3 기준 이탈",'03_발생조건'!P3:P78,"&lt;&gt;제외")</f>
        <v/>
      </c>
      <c r="G20" s="25">
        <f>COUNTIFS('03_발생조건'!C3:C78,"중간점검",'03_발생조건'!D3:D78,"구성원",'03_발생조건'!E3:E78,"T4 연결 불일치",'03_발생조건'!P3:P78,"&lt;&gt;제외")</f>
        <v/>
      </c>
      <c r="H20" s="25">
        <f>COUNTIFS('03_발생조건'!C3:C78,"중간점검",'03_발생조건'!D3:D78,"구성원",'03_발생조건'!E3:E78,"T5 상황 변동",'03_발생조건'!P3:P78,"&lt;&gt;제외")</f>
        <v/>
      </c>
      <c r="I20" s="25">
        <f>SUM(D20:H20)</f>
        <v/>
      </c>
    </row>
    <row r="21">
      <c r="B21" s="27" t="inlineStr">
        <is>
          <t>중간점검</t>
        </is>
      </c>
      <c r="C21" s="27" t="inlineStr">
        <is>
          <t>팀장(1차 평가자)</t>
        </is>
      </c>
      <c r="D21" s="25">
        <f>COUNTIFS('03_발생조건'!C3:C78,"중간점검",'03_발생조건'!D3:D78,"팀장(1차 평가자)",'03_발생조건'!E3:E78,"T1 기한 도래",'03_발생조건'!P3:P78,"&lt;&gt;제외")</f>
        <v/>
      </c>
      <c r="E21" s="25">
        <f>COUNTIFS('03_발생조건'!C3:C78,"중간점검",'03_발생조건'!D3:D78,"팀장(1차 평가자)",'03_발생조건'!E3:E78,"T2 작성 공백",'03_발생조건'!P3:P78,"&lt;&gt;제외")</f>
        <v/>
      </c>
      <c r="F21" s="25">
        <f>COUNTIFS('03_발생조건'!C3:C78,"중간점검",'03_발생조건'!D3:D78,"팀장(1차 평가자)",'03_발생조건'!E3:E78,"T3 기준 이탈",'03_발생조건'!P3:P78,"&lt;&gt;제외")</f>
        <v/>
      </c>
      <c r="G21" s="25">
        <f>COUNTIFS('03_발생조건'!C3:C78,"중간점검",'03_발생조건'!D3:D78,"팀장(1차 평가자)",'03_발생조건'!E3:E78,"T4 연결 불일치",'03_발생조건'!P3:P78,"&lt;&gt;제외")</f>
        <v/>
      </c>
      <c r="H21" s="25">
        <f>COUNTIFS('03_발생조건'!C3:C78,"중간점검",'03_발생조건'!D3:D78,"팀장(1차 평가자)",'03_발생조건'!E3:E78,"T5 상황 변동",'03_발생조건'!P3:P78,"&lt;&gt;제외")</f>
        <v/>
      </c>
      <c r="I21" s="25">
        <f>SUM(D21:H21)</f>
        <v/>
      </c>
    </row>
    <row r="22">
      <c r="B22" s="27" t="inlineStr">
        <is>
          <t>중간점검</t>
        </is>
      </c>
      <c r="C22" s="27" t="inlineStr">
        <is>
          <t>상위 조직장(2차 평가자)</t>
        </is>
      </c>
      <c r="D22" s="25">
        <f>COUNTIFS('03_발생조건'!C3:C78,"중간점검",'03_발생조건'!D3:D78,"상위 조직장(2차 평가자)",'03_발생조건'!E3:E78,"T1 기한 도래",'03_발생조건'!P3:P78,"&lt;&gt;제외")</f>
        <v/>
      </c>
      <c r="E22" s="25">
        <f>COUNTIFS('03_발생조건'!C3:C78,"중간점검",'03_발생조건'!D3:D78,"상위 조직장(2차 평가자)",'03_발생조건'!E3:E78,"T2 작성 공백",'03_발생조건'!P3:P78,"&lt;&gt;제외")</f>
        <v/>
      </c>
      <c r="F22" s="25">
        <f>COUNTIFS('03_발생조건'!C3:C78,"중간점검",'03_발생조건'!D3:D78,"상위 조직장(2차 평가자)",'03_발생조건'!E3:E78,"T3 기준 이탈",'03_발생조건'!P3:P78,"&lt;&gt;제외")</f>
        <v/>
      </c>
      <c r="G22" s="25">
        <f>COUNTIFS('03_발생조건'!C3:C78,"중간점검",'03_발생조건'!D3:D78,"상위 조직장(2차 평가자)",'03_발생조건'!E3:E78,"T4 연결 불일치",'03_발생조건'!P3:P78,"&lt;&gt;제외")</f>
        <v/>
      </c>
      <c r="H22" s="25">
        <f>COUNTIFS('03_발생조건'!C3:C78,"중간점검",'03_발생조건'!D3:D78,"상위 조직장(2차 평가자)",'03_발생조건'!E3:E78,"T5 상황 변동",'03_발생조건'!P3:P78,"&lt;&gt;제외")</f>
        <v/>
      </c>
      <c r="I22" s="25">
        <f>SUM(D22:H22)</f>
        <v/>
      </c>
    </row>
    <row r="23">
      <c r="B23" s="27" t="inlineStr">
        <is>
          <t>중간점검</t>
        </is>
      </c>
      <c r="C23" s="27" t="inlineStr">
        <is>
          <t>HR·경영진</t>
        </is>
      </c>
      <c r="D23" s="25">
        <f>COUNTIFS('03_발생조건'!C3:C78,"중간점검",'03_발생조건'!D3:D78,"HR·경영진",'03_발생조건'!E3:E78,"T1 기한 도래",'03_발생조건'!P3:P78,"&lt;&gt;제외")</f>
        <v/>
      </c>
      <c r="E23" s="25">
        <f>COUNTIFS('03_발생조건'!C3:C78,"중간점검",'03_발생조건'!D3:D78,"HR·경영진",'03_발생조건'!E3:E78,"T2 작성 공백",'03_발생조건'!P3:P78,"&lt;&gt;제외")</f>
        <v/>
      </c>
      <c r="F23" s="25">
        <f>COUNTIFS('03_발생조건'!C3:C78,"중간점검",'03_발생조건'!D3:D78,"HR·경영진",'03_발생조건'!E3:E78,"T3 기준 이탈",'03_발생조건'!P3:P78,"&lt;&gt;제외")</f>
        <v/>
      </c>
      <c r="G23" s="25">
        <f>COUNTIFS('03_발생조건'!C3:C78,"중간점검",'03_발생조건'!D3:D78,"HR·경영진",'03_발생조건'!E3:E78,"T4 연결 불일치",'03_발생조건'!P3:P78,"&lt;&gt;제외")</f>
        <v/>
      </c>
      <c r="H23" s="25">
        <f>COUNTIFS('03_발생조건'!C3:C78,"중간점검",'03_발생조건'!D3:D78,"HR·경영진",'03_발생조건'!E3:E78,"T5 상황 변동",'03_발생조건'!P3:P78,"&lt;&gt;제외")</f>
        <v/>
      </c>
      <c r="I23" s="25">
        <f>SUM(D23:H23)</f>
        <v/>
      </c>
    </row>
    <row r="24">
      <c r="B24" s="27" t="inlineStr">
        <is>
          <t>평가</t>
        </is>
      </c>
      <c r="C24" s="27" t="inlineStr">
        <is>
          <t>구성원</t>
        </is>
      </c>
      <c r="D24" s="25">
        <f>COUNTIFS('03_발생조건'!C3:C78,"평가",'03_발생조건'!D3:D78,"구성원",'03_발생조건'!E3:E78,"T1 기한 도래",'03_발생조건'!P3:P78,"&lt;&gt;제외")</f>
        <v/>
      </c>
      <c r="E24" s="25">
        <f>COUNTIFS('03_발생조건'!C3:C78,"평가",'03_발생조건'!D3:D78,"구성원",'03_발생조건'!E3:E78,"T2 작성 공백",'03_발생조건'!P3:P78,"&lt;&gt;제외")</f>
        <v/>
      </c>
      <c r="F24" s="25">
        <f>COUNTIFS('03_발생조건'!C3:C78,"평가",'03_발생조건'!D3:D78,"구성원",'03_발생조건'!E3:E78,"T3 기준 이탈",'03_발생조건'!P3:P78,"&lt;&gt;제외")</f>
        <v/>
      </c>
      <c r="G24" s="25">
        <f>COUNTIFS('03_발생조건'!C3:C78,"평가",'03_발생조건'!D3:D78,"구성원",'03_발생조건'!E3:E78,"T4 연결 불일치",'03_발생조건'!P3:P78,"&lt;&gt;제외")</f>
        <v/>
      </c>
      <c r="H24" s="25">
        <f>COUNTIFS('03_발생조건'!C3:C78,"평가",'03_발생조건'!D3:D78,"구성원",'03_발생조건'!E3:E78,"T5 상황 변동",'03_발생조건'!P3:P78,"&lt;&gt;제외")</f>
        <v/>
      </c>
      <c r="I24" s="25">
        <f>SUM(D24:H24)</f>
        <v/>
      </c>
    </row>
    <row r="25">
      <c r="B25" s="27" t="inlineStr">
        <is>
          <t>평가</t>
        </is>
      </c>
      <c r="C25" s="27" t="inlineStr">
        <is>
          <t>팀장(1차 평가자)</t>
        </is>
      </c>
      <c r="D25" s="25">
        <f>COUNTIFS('03_발생조건'!C3:C78,"평가",'03_발생조건'!D3:D78,"팀장(1차 평가자)",'03_발생조건'!E3:E78,"T1 기한 도래",'03_발생조건'!P3:P78,"&lt;&gt;제외")</f>
        <v/>
      </c>
      <c r="E25" s="25">
        <f>COUNTIFS('03_발생조건'!C3:C78,"평가",'03_발생조건'!D3:D78,"팀장(1차 평가자)",'03_발생조건'!E3:E78,"T2 작성 공백",'03_발생조건'!P3:P78,"&lt;&gt;제외")</f>
        <v/>
      </c>
      <c r="F25" s="25">
        <f>COUNTIFS('03_발생조건'!C3:C78,"평가",'03_발생조건'!D3:D78,"팀장(1차 평가자)",'03_발생조건'!E3:E78,"T3 기준 이탈",'03_발생조건'!P3:P78,"&lt;&gt;제외")</f>
        <v/>
      </c>
      <c r="G25" s="25">
        <f>COUNTIFS('03_발생조건'!C3:C78,"평가",'03_발생조건'!D3:D78,"팀장(1차 평가자)",'03_발생조건'!E3:E78,"T4 연결 불일치",'03_발생조건'!P3:P78,"&lt;&gt;제외")</f>
        <v/>
      </c>
      <c r="H25" s="25">
        <f>COUNTIFS('03_발생조건'!C3:C78,"평가",'03_발생조건'!D3:D78,"팀장(1차 평가자)",'03_발생조건'!E3:E78,"T5 상황 변동",'03_발생조건'!P3:P78,"&lt;&gt;제외")</f>
        <v/>
      </c>
      <c r="I25" s="25">
        <f>SUM(D25:H25)</f>
        <v/>
      </c>
    </row>
    <row r="26">
      <c r="B26" s="27" t="inlineStr">
        <is>
          <t>평가</t>
        </is>
      </c>
      <c r="C26" s="27" t="inlineStr">
        <is>
          <t>상위 조직장(2차 평가자)</t>
        </is>
      </c>
      <c r="D26" s="25">
        <f>COUNTIFS('03_발생조건'!C3:C78,"평가",'03_발생조건'!D3:D78,"상위 조직장(2차 평가자)",'03_발생조건'!E3:E78,"T1 기한 도래",'03_발생조건'!P3:P78,"&lt;&gt;제외")</f>
        <v/>
      </c>
      <c r="E26" s="25">
        <f>COUNTIFS('03_발생조건'!C3:C78,"평가",'03_발생조건'!D3:D78,"상위 조직장(2차 평가자)",'03_발생조건'!E3:E78,"T2 작성 공백",'03_발생조건'!P3:P78,"&lt;&gt;제외")</f>
        <v/>
      </c>
      <c r="F26" s="25">
        <f>COUNTIFS('03_발생조건'!C3:C78,"평가",'03_발생조건'!D3:D78,"상위 조직장(2차 평가자)",'03_발생조건'!E3:E78,"T3 기준 이탈",'03_발생조건'!P3:P78,"&lt;&gt;제외")</f>
        <v/>
      </c>
      <c r="G26" s="25">
        <f>COUNTIFS('03_발생조건'!C3:C78,"평가",'03_발생조건'!D3:D78,"상위 조직장(2차 평가자)",'03_발생조건'!E3:E78,"T4 연결 불일치",'03_발생조건'!P3:P78,"&lt;&gt;제외")</f>
        <v/>
      </c>
      <c r="H26" s="25">
        <f>COUNTIFS('03_발생조건'!C3:C78,"평가",'03_발생조건'!D3:D78,"상위 조직장(2차 평가자)",'03_발생조건'!E3:E78,"T5 상황 변동",'03_발생조건'!P3:P78,"&lt;&gt;제외")</f>
        <v/>
      </c>
      <c r="I26" s="25">
        <f>SUM(D26:H26)</f>
        <v/>
      </c>
    </row>
    <row r="27">
      <c r="B27" s="27" t="inlineStr">
        <is>
          <t>평가</t>
        </is>
      </c>
      <c r="C27" s="27" t="inlineStr">
        <is>
          <t>HR·경영진</t>
        </is>
      </c>
      <c r="D27" s="25">
        <f>COUNTIFS('03_발생조건'!C3:C78,"평가",'03_발생조건'!D3:D78,"HR·경영진",'03_발생조건'!E3:E78,"T1 기한 도래",'03_발생조건'!P3:P78,"&lt;&gt;제외")</f>
        <v/>
      </c>
      <c r="E27" s="25">
        <f>COUNTIFS('03_발생조건'!C3:C78,"평가",'03_발생조건'!D3:D78,"HR·경영진",'03_발생조건'!E3:E78,"T2 작성 공백",'03_발생조건'!P3:P78,"&lt;&gt;제외")</f>
        <v/>
      </c>
      <c r="F27" s="25">
        <f>COUNTIFS('03_발생조건'!C3:C78,"평가",'03_발생조건'!D3:D78,"HR·경영진",'03_발생조건'!E3:E78,"T3 기준 이탈",'03_발생조건'!P3:P78,"&lt;&gt;제외")</f>
        <v/>
      </c>
      <c r="G27" s="25">
        <f>COUNTIFS('03_발생조건'!C3:C78,"평가",'03_발생조건'!D3:D78,"HR·경영진",'03_발생조건'!E3:E78,"T4 연결 불일치",'03_발생조건'!P3:P78,"&lt;&gt;제외")</f>
        <v/>
      </c>
      <c r="H27" s="25">
        <f>COUNTIFS('03_발생조건'!C3:C78,"평가",'03_발생조건'!D3:D78,"HR·경영진",'03_발생조건'!E3:E78,"T5 상황 변동",'03_발생조건'!P3:P78,"&lt;&gt;제외")</f>
        <v/>
      </c>
      <c r="I27" s="25">
        <f>SUM(D27:H27)</f>
        <v/>
      </c>
    </row>
    <row r="28">
      <c r="B28" s="27" t="inlineStr">
        <is>
          <t>피드백</t>
        </is>
      </c>
      <c r="C28" s="27" t="inlineStr">
        <is>
          <t>구성원</t>
        </is>
      </c>
      <c r="D28" s="25">
        <f>COUNTIFS('03_발생조건'!C3:C78,"피드백",'03_발생조건'!D3:D78,"구성원",'03_발생조건'!E3:E78,"T1 기한 도래",'03_발생조건'!P3:P78,"&lt;&gt;제외")</f>
        <v/>
      </c>
      <c r="E28" s="25">
        <f>COUNTIFS('03_발생조건'!C3:C78,"피드백",'03_발생조건'!D3:D78,"구성원",'03_발생조건'!E3:E78,"T2 작성 공백",'03_발생조건'!P3:P78,"&lt;&gt;제외")</f>
        <v/>
      </c>
      <c r="F28" s="25">
        <f>COUNTIFS('03_발생조건'!C3:C78,"피드백",'03_발생조건'!D3:D78,"구성원",'03_발생조건'!E3:E78,"T3 기준 이탈",'03_발생조건'!P3:P78,"&lt;&gt;제외")</f>
        <v/>
      </c>
      <c r="G28" s="25">
        <f>COUNTIFS('03_발생조건'!C3:C78,"피드백",'03_발생조건'!D3:D78,"구성원",'03_발생조건'!E3:E78,"T4 연결 불일치",'03_발생조건'!P3:P78,"&lt;&gt;제외")</f>
        <v/>
      </c>
      <c r="H28" s="25">
        <f>COUNTIFS('03_발생조건'!C3:C78,"피드백",'03_발생조건'!D3:D78,"구성원",'03_발생조건'!E3:E78,"T5 상황 변동",'03_발생조건'!P3:P78,"&lt;&gt;제외")</f>
        <v/>
      </c>
      <c r="I28" s="25">
        <f>SUM(D28:H28)</f>
        <v/>
      </c>
    </row>
    <row r="29">
      <c r="B29" s="27" t="inlineStr">
        <is>
          <t>피드백</t>
        </is>
      </c>
      <c r="C29" s="27" t="inlineStr">
        <is>
          <t>팀장(1차 평가자)</t>
        </is>
      </c>
      <c r="D29" s="25">
        <f>COUNTIFS('03_발생조건'!C3:C78,"피드백",'03_발생조건'!D3:D78,"팀장(1차 평가자)",'03_발생조건'!E3:E78,"T1 기한 도래",'03_발생조건'!P3:P78,"&lt;&gt;제외")</f>
        <v/>
      </c>
      <c r="E29" s="25">
        <f>COUNTIFS('03_발생조건'!C3:C78,"피드백",'03_발생조건'!D3:D78,"팀장(1차 평가자)",'03_발생조건'!E3:E78,"T2 작성 공백",'03_발생조건'!P3:P78,"&lt;&gt;제외")</f>
        <v/>
      </c>
      <c r="F29" s="25">
        <f>COUNTIFS('03_발생조건'!C3:C78,"피드백",'03_발생조건'!D3:D78,"팀장(1차 평가자)",'03_발생조건'!E3:E78,"T3 기준 이탈",'03_발생조건'!P3:P78,"&lt;&gt;제외")</f>
        <v/>
      </c>
      <c r="G29" s="25">
        <f>COUNTIFS('03_발생조건'!C3:C78,"피드백",'03_발생조건'!D3:D78,"팀장(1차 평가자)",'03_발생조건'!E3:E78,"T4 연결 불일치",'03_발생조건'!P3:P78,"&lt;&gt;제외")</f>
        <v/>
      </c>
      <c r="H29" s="25">
        <f>COUNTIFS('03_발생조건'!C3:C78,"피드백",'03_발생조건'!D3:D78,"팀장(1차 평가자)",'03_발생조건'!E3:E78,"T5 상황 변동",'03_발생조건'!P3:P78,"&lt;&gt;제외")</f>
        <v/>
      </c>
      <c r="I29" s="25">
        <f>SUM(D29:H29)</f>
        <v/>
      </c>
    </row>
    <row r="30">
      <c r="B30" s="27" t="inlineStr">
        <is>
          <t>피드백</t>
        </is>
      </c>
      <c r="C30" s="27" t="inlineStr">
        <is>
          <t>상위 조직장(2차 평가자)</t>
        </is>
      </c>
      <c r="D30" s="25">
        <f>COUNTIFS('03_발생조건'!C3:C78,"피드백",'03_발생조건'!D3:D78,"상위 조직장(2차 평가자)",'03_발생조건'!E3:E78,"T1 기한 도래",'03_발생조건'!P3:P78,"&lt;&gt;제외")</f>
        <v/>
      </c>
      <c r="E30" s="25">
        <f>COUNTIFS('03_발생조건'!C3:C78,"피드백",'03_발생조건'!D3:D78,"상위 조직장(2차 평가자)",'03_발생조건'!E3:E78,"T2 작성 공백",'03_발생조건'!P3:P78,"&lt;&gt;제외")</f>
        <v/>
      </c>
      <c r="F30" s="25">
        <f>COUNTIFS('03_발생조건'!C3:C78,"피드백",'03_발생조건'!D3:D78,"상위 조직장(2차 평가자)",'03_발생조건'!E3:E78,"T3 기준 이탈",'03_발생조건'!P3:P78,"&lt;&gt;제외")</f>
        <v/>
      </c>
      <c r="G30" s="25">
        <f>COUNTIFS('03_발생조건'!C3:C78,"피드백",'03_발생조건'!D3:D78,"상위 조직장(2차 평가자)",'03_발생조건'!E3:E78,"T4 연결 불일치",'03_발생조건'!P3:P78,"&lt;&gt;제외")</f>
        <v/>
      </c>
      <c r="H30" s="25">
        <f>COUNTIFS('03_발생조건'!C3:C78,"피드백",'03_발생조건'!D3:D78,"상위 조직장(2차 평가자)",'03_발생조건'!E3:E78,"T5 상황 변동",'03_발생조건'!P3:P78,"&lt;&gt;제외")</f>
        <v/>
      </c>
      <c r="I30" s="25">
        <f>SUM(D30:H30)</f>
        <v/>
      </c>
    </row>
    <row r="31">
      <c r="B31" s="27" t="inlineStr">
        <is>
          <t>피드백</t>
        </is>
      </c>
      <c r="C31" s="27" t="inlineStr">
        <is>
          <t>HR·경영진</t>
        </is>
      </c>
      <c r="D31" s="25">
        <f>COUNTIFS('03_발생조건'!C3:C78,"피드백",'03_발생조건'!D3:D78,"HR·경영진",'03_발생조건'!E3:E78,"T1 기한 도래",'03_발생조건'!P3:P78,"&lt;&gt;제외")</f>
        <v/>
      </c>
      <c r="E31" s="25">
        <f>COUNTIFS('03_발생조건'!C3:C78,"피드백",'03_발생조건'!D3:D78,"HR·경영진",'03_발생조건'!E3:E78,"T2 작성 공백",'03_발생조건'!P3:P78,"&lt;&gt;제외")</f>
        <v/>
      </c>
      <c r="F31" s="25">
        <f>COUNTIFS('03_발생조건'!C3:C78,"피드백",'03_발생조건'!D3:D78,"HR·경영진",'03_발생조건'!E3:E78,"T3 기준 이탈",'03_발생조건'!P3:P78,"&lt;&gt;제외")</f>
        <v/>
      </c>
      <c r="G31" s="25">
        <f>COUNTIFS('03_발생조건'!C3:C78,"피드백",'03_발생조건'!D3:D78,"HR·경영진",'03_발생조건'!E3:E78,"T4 연결 불일치",'03_발생조건'!P3:P78,"&lt;&gt;제외")</f>
        <v/>
      </c>
      <c r="H31" s="25">
        <f>COUNTIFS('03_발생조건'!C3:C78,"피드백",'03_발생조건'!D3:D78,"HR·경영진",'03_발생조건'!E3:E78,"T5 상황 변동",'03_발생조건'!P3:P78,"&lt;&gt;제외")</f>
        <v/>
      </c>
      <c r="I31" s="25">
        <f>SUM(D31:H31)</f>
        <v/>
      </c>
    </row>
    <row r="34">
      <c r="B34" s="4" t="inlineStr">
        <is>
          <t>비운 이유 — 왜 만들지 않았나 (11건)</t>
        </is>
      </c>
    </row>
    <row r="35">
      <c r="B35" s="11" t="inlineStr">
        <is>
          <t>억지로 채우지 않는다. 비어 있는 것도 결과이며, 왜 비었는지가 다음 단계의 할 일이 된다.</t>
        </is>
      </c>
    </row>
    <row r="36">
      <c r="B36" s="2" t="inlineStr">
        <is>
          <t>수신 대상</t>
        </is>
      </c>
      <c r="C36" s="2" t="inlineStr">
        <is>
          <t>단계</t>
        </is>
      </c>
      <c r="D36" s="2" t="inlineStr">
        <is>
          <t>신호 유형</t>
        </is>
      </c>
      <c r="E36" s="2" t="inlineStr">
        <is>
          <t>왜 비었는지</t>
        </is>
      </c>
    </row>
    <row r="37" ht="32" customHeight="1">
      <c r="B37" s="3" t="inlineStr">
        <is>
          <t>구성원</t>
        </is>
      </c>
      <c r="C37" s="3" t="inlineStr">
        <is>
          <t>중간점검</t>
        </is>
      </c>
      <c r="D37" s="3" t="inlineStr">
        <is>
          <t>T1 기한 도래</t>
        </is>
      </c>
      <c r="E37" s="3" t="inlineStr">
        <is>
          <t>체크인 자체의 기한이 제도 일정에 없고, 기한을 만들어도 T2(작성 공백)와 원인이 같아 같은 사람에게 두 번 뜨는 카드가 된다</t>
        </is>
      </c>
      <c r="F37" s="8" t="n"/>
      <c r="G37" s="8" t="n"/>
      <c r="H37" s="8" t="n"/>
      <c r="I37" s="8" t="n"/>
      <c r="J37" s="8" t="n"/>
      <c r="K37" s="8" t="n"/>
      <c r="L37" s="8" t="n"/>
      <c r="M37" s="8" t="n"/>
      <c r="N37" s="8" t="n"/>
      <c r="O37" s="9" t="n"/>
    </row>
    <row r="38" ht="32" customHeight="1">
      <c r="B38" s="3" t="inlineStr">
        <is>
          <t>구성원</t>
        </is>
      </c>
      <c r="C38" s="3" t="inlineStr">
        <is>
          <t>피드백</t>
        </is>
      </c>
      <c r="D38" s="3" t="inlineStr">
        <is>
          <t>T2 작성 공백</t>
        </is>
      </c>
      <c r="E38" s="3" t="inlineStr">
        <is>
          <t>받은 피드백을 열었는지·답했는지가 어디에도 남지 않아 "며칠째 그대로다"를 규칙으로 판단할 수 없다</t>
        </is>
      </c>
      <c r="F38" s="8" t="n"/>
      <c r="G38" s="8" t="n"/>
      <c r="H38" s="8" t="n"/>
      <c r="I38" s="8" t="n"/>
      <c r="J38" s="8" t="n"/>
      <c r="K38" s="8" t="n"/>
      <c r="L38" s="8" t="n"/>
      <c r="M38" s="8" t="n"/>
      <c r="N38" s="8" t="n"/>
      <c r="O38" s="9" t="n"/>
    </row>
    <row r="39" ht="32" customHeight="1">
      <c r="B39" s="3" t="inlineStr">
        <is>
          <t>구성원</t>
        </is>
      </c>
      <c r="C39" s="3" t="inlineStr">
        <is>
          <t>피드백</t>
        </is>
      </c>
      <c r="D39" s="3" t="inlineStr">
        <is>
          <t>T3 기준 이탈</t>
        </is>
      </c>
      <c r="E39" s="3" t="inlineStr">
        <is>
          <t>개인이 받은 피드백 건수로 기준선을 만들 만한 모수가 없다 (받은 피드백 7건 · 상향 피드백 2건)</t>
        </is>
      </c>
      <c r="F39" s="8" t="n"/>
      <c r="G39" s="8" t="n"/>
      <c r="H39" s="8" t="n"/>
      <c r="I39" s="8" t="n"/>
      <c r="J39" s="8" t="n"/>
      <c r="K39" s="8" t="n"/>
      <c r="L39" s="8" t="n"/>
      <c r="M39" s="8" t="n"/>
      <c r="N39" s="8" t="n"/>
      <c r="O39" s="9" t="n"/>
    </row>
    <row r="40" ht="32" customHeight="1">
      <c r="B40" s="3" t="inlineStr">
        <is>
          <t>팀장(1차 평가자)</t>
        </is>
      </c>
      <c r="C40" s="3" t="inlineStr">
        <is>
          <t>중간점검</t>
        </is>
      </c>
      <c r="D40" s="3" t="inlineStr">
        <is>
          <t>T4 연결 불일치</t>
        </is>
      </c>
      <c r="E40" s="3" t="inlineStr">
        <is>
          <t>팀원 목표가 팀 목표·직무와 어긋나는 건은 목표수립-팀장-04와 원인이 같아, 중간점검에서 다시 알리면 같은 사람에게 같은 카드가 두 번 뜬다</t>
        </is>
      </c>
      <c r="F40" s="8" t="n"/>
      <c r="G40" s="8" t="n"/>
      <c r="H40" s="8" t="n"/>
      <c r="I40" s="8" t="n"/>
      <c r="J40" s="8" t="n"/>
      <c r="K40" s="8" t="n"/>
      <c r="L40" s="8" t="n"/>
      <c r="M40" s="8" t="n"/>
      <c r="N40" s="8" t="n"/>
      <c r="O40" s="9" t="n"/>
    </row>
    <row r="41" ht="32" customHeight="1">
      <c r="B41" s="3" t="inlineStr">
        <is>
          <t>팀장(1차 평가자)</t>
        </is>
      </c>
      <c r="C41" s="3" t="inlineStr">
        <is>
          <t>평가</t>
        </is>
      </c>
      <c r="D41" s="3" t="inlineStr">
        <is>
          <t>T2 작성 공백</t>
        </is>
      </c>
      <c r="E41" s="3" t="inlineStr">
        <is>
          <t>평가에 최종 수정 일시가 없고 자기평가 제출도 임시 저장뿐이어서, 평가가 "며칠째 그대로"인지 확인할 수 없다</t>
        </is>
      </c>
      <c r="F41" s="8" t="n"/>
      <c r="G41" s="8" t="n"/>
      <c r="H41" s="8" t="n"/>
      <c r="I41" s="8" t="n"/>
      <c r="J41" s="8" t="n"/>
      <c r="K41" s="8" t="n"/>
      <c r="L41" s="8" t="n"/>
      <c r="M41" s="8" t="n"/>
      <c r="N41" s="8" t="n"/>
      <c r="O41" s="9" t="n"/>
    </row>
    <row r="42" ht="32" customHeight="1">
      <c r="B42" s="3" t="inlineStr">
        <is>
          <t>팀장(1차 평가자)</t>
        </is>
      </c>
      <c r="C42" s="3" t="inlineStr">
        <is>
          <t>피드백</t>
        </is>
      </c>
      <c r="D42" s="3" t="inlineStr">
        <is>
          <t>T3 기준 이탈</t>
        </is>
      </c>
      <c r="E42" s="3" t="inlineStr">
        <is>
          <t>팀원별로 받은 피드백이 전사 7건 · 상향 피드백 2건뿐이어서 많다·적다를 가릴 기준선을 만들 모수가 없다</t>
        </is>
      </c>
      <c r="F42" s="8" t="n"/>
      <c r="G42" s="8" t="n"/>
      <c r="H42" s="8" t="n"/>
      <c r="I42" s="8" t="n"/>
      <c r="J42" s="8" t="n"/>
      <c r="K42" s="8" t="n"/>
      <c r="L42" s="8" t="n"/>
      <c r="M42" s="8" t="n"/>
      <c r="N42" s="8" t="n"/>
      <c r="O42" s="9" t="n"/>
    </row>
    <row r="43" ht="32" customHeight="1">
      <c r="B43" s="3" t="inlineStr">
        <is>
          <t>팀장(1차 평가자)</t>
        </is>
      </c>
      <c r="C43" s="3" t="inlineStr">
        <is>
          <t>피드백</t>
        </is>
      </c>
      <c r="D43" s="3" t="inlineStr">
        <is>
          <t>T4 연결 불일치</t>
        </is>
      </c>
      <c r="E43" s="3" t="inlineStr">
        <is>
          <t>확정 등급과 전달할 피드백 문장의 어긋남은 평가-팀장-03과 원인이 같고, 피드백 초안이 저장되지 않아 비교할 대상 자체가 없다</t>
        </is>
      </c>
      <c r="F43" s="8" t="n"/>
      <c r="G43" s="8" t="n"/>
      <c r="H43" s="8" t="n"/>
      <c r="I43" s="8" t="n"/>
      <c r="J43" s="8" t="n"/>
      <c r="K43" s="8" t="n"/>
      <c r="L43" s="8" t="n"/>
      <c r="M43" s="8" t="n"/>
      <c r="N43" s="8" t="n"/>
      <c r="O43" s="9" t="n"/>
    </row>
    <row r="44" ht="32" customHeight="1">
      <c r="B44" s="3" t="inlineStr">
        <is>
          <t>상위 조직장(2차 평가자)</t>
        </is>
      </c>
      <c r="C44" s="3" t="inlineStr">
        <is>
          <t>피드백</t>
        </is>
      </c>
      <c r="D44" s="3" t="inlineStr">
        <is>
          <t>T3 기준 이탈</t>
        </is>
      </c>
      <c r="E44" s="3" t="inlineStr">
        <is>
          <t>팀별 피드백 지표로 기준선을 만들 모수가 없다 — 받은 피드백 7건 · 상향 피드백 2건이고 전달·열람 기록이 아예 없어 팀 합계 최소 건수(3건 또는 30%)를 확인할 수 없다</t>
        </is>
      </c>
      <c r="F44" s="8" t="n"/>
      <c r="G44" s="8" t="n"/>
      <c r="H44" s="8" t="n"/>
      <c r="I44" s="8" t="n"/>
      <c r="J44" s="8" t="n"/>
      <c r="K44" s="8" t="n"/>
      <c r="L44" s="8" t="n"/>
      <c r="M44" s="8" t="n"/>
      <c r="N44" s="8" t="n"/>
      <c r="O44" s="9" t="n"/>
    </row>
    <row r="45" ht="32" customHeight="1">
      <c r="B45" s="3" t="inlineStr">
        <is>
          <t>HR·경영진</t>
        </is>
      </c>
      <c r="C45" s="3" t="inlineStr">
        <is>
          <t>중간점검</t>
        </is>
      </c>
      <c r="D45" s="3" t="inlineStr">
        <is>
          <t>T2 작성 공백</t>
        </is>
      </c>
      <c r="E45" s="3" t="inlineStr">
        <is>
          <t>체크인이 멈춘 개별 건은 구성원과 팀장이 먼저 처리할 기회를 갖고, HR·경영진에게는 T3 참여율·진척 카드로 이미 합쳐 뜬다</t>
        </is>
      </c>
      <c r="F45" s="8" t="n"/>
      <c r="G45" s="8" t="n"/>
      <c r="H45" s="8" t="n"/>
      <c r="I45" s="8" t="n"/>
      <c r="J45" s="8" t="n"/>
      <c r="K45" s="8" t="n"/>
      <c r="L45" s="8" t="n"/>
      <c r="M45" s="8" t="n"/>
      <c r="N45" s="8" t="n"/>
      <c r="O45" s="9" t="n"/>
    </row>
    <row r="46" ht="32" customHeight="1">
      <c r="B46" s="3" t="inlineStr">
        <is>
          <t>HR·경영진</t>
        </is>
      </c>
      <c r="C46" s="3" t="inlineStr">
        <is>
          <t>중간점검</t>
        </is>
      </c>
      <c r="D46" s="3" t="inlineStr">
        <is>
          <t>T5 상황 변동</t>
        </is>
      </c>
      <c r="E46" s="3" t="inlineStr">
        <is>
          <t>발령·조직 개편으로 생긴 목표 공백은 목표수립 단계의 같은 원인 카드(목표수립-HR경영진-07)가 담당한다</t>
        </is>
      </c>
      <c r="F46" s="8" t="n"/>
      <c r="G46" s="8" t="n"/>
      <c r="H46" s="8" t="n"/>
      <c r="I46" s="8" t="n"/>
      <c r="J46" s="8" t="n"/>
      <c r="K46" s="8" t="n"/>
      <c r="L46" s="8" t="n"/>
      <c r="M46" s="8" t="n"/>
      <c r="N46" s="8" t="n"/>
      <c r="O46" s="9" t="n"/>
    </row>
    <row r="47" ht="32" customHeight="1">
      <c r="B47" s="3" t="inlineStr">
        <is>
          <t>HR·경영진</t>
        </is>
      </c>
      <c r="C47" s="3" t="inlineStr">
        <is>
          <t>피드백</t>
        </is>
      </c>
      <c r="D47" s="3" t="inlineStr">
        <is>
          <t>T5 상황 변동</t>
        </is>
      </c>
      <c r="E47" s="3" t="inlineStr">
        <is>
          <t>조직 개편으로 평가자가 바뀔 때 이전 평가 피드백이 인수됐는지 보려면 발령 이력과 피드백 전달 기록이 둘 다 필요한데, 발령 채움률 0.5% · 피드백 전달 기록 없음으로 두 전제가 모두 비어 있다</t>
        </is>
      </c>
      <c r="F47" s="8" t="n"/>
      <c r="G47" s="8" t="n"/>
      <c r="H47" s="8" t="n"/>
      <c r="I47" s="8" t="n"/>
      <c r="J47" s="8" t="n"/>
      <c r="K47" s="8" t="n"/>
      <c r="L47" s="8" t="n"/>
      <c r="M47" s="8" t="n"/>
      <c r="N47" s="8" t="n"/>
      <c r="O47" s="9" t="n"/>
    </row>
  </sheetData>
  <mergeCells count="18">
    <mergeCell ref="E39:O39"/>
    <mergeCell ref="O5:O6"/>
    <mergeCell ref="E47:O47"/>
    <mergeCell ref="E43:O43"/>
    <mergeCell ref="F5:H5"/>
    <mergeCell ref="C5:E5"/>
    <mergeCell ref="E38:O38"/>
    <mergeCell ref="E44:O44"/>
    <mergeCell ref="I5:K5"/>
    <mergeCell ref="L5:N5"/>
    <mergeCell ref="E41:O41"/>
    <mergeCell ref="B3:O3"/>
    <mergeCell ref="E46:O46"/>
    <mergeCell ref="E42:O42"/>
    <mergeCell ref="E37:O37"/>
    <mergeCell ref="B5:B6"/>
    <mergeCell ref="E45:O45"/>
    <mergeCell ref="E40:O40"/>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B2:F77"/>
  <sheetViews>
    <sheetView showGridLines="0" workbookViewId="0">
      <selection activeCell="A1" sqref="A1"/>
    </sheetView>
  </sheetViews>
  <sheetFormatPr baseColWidth="8" defaultRowHeight="15"/>
  <cols>
    <col width="2" customWidth="1" min="1" max="1"/>
    <col width="24" customWidth="1" min="2" max="2"/>
    <col width="28" customWidth="1" min="3" max="3"/>
    <col width="44" customWidth="1" min="4" max="4"/>
    <col width="34" customWidth="1" min="5" max="5"/>
    <col width="24" customWidth="1" min="6" max="6"/>
  </cols>
  <sheetData>
    <row r="2" ht="24" customHeight="1">
      <c r="B2" s="1" t="inlineStr">
        <is>
          <t>05 어휘 · 문구 규칙</t>
        </is>
      </c>
    </row>
    <row r="4" ht="30" customHeight="1">
      <c r="B4" s="6" t="inlineStr">
        <is>
          <t>v0.3 (2026-07-28). 기준 하나 — 인사팀 담당자가 제도 안내문에 그대로 쓸 수 있는 말인가. 아니면 바꾼다. 여러 사람이 나눠 써도 카드 말투가 하나로 유지되게 하는 기준이다.</t>
        </is>
      </c>
    </row>
    <row r="6">
      <c r="B6" s="4" t="inlineStr">
        <is>
          <t>(1) 쓰지 않는 말</t>
        </is>
      </c>
    </row>
    <row r="7" ht="22" customHeight="1">
      <c r="B7" s="2" t="inlineStr">
        <is>
          <t>쓰지 않는다</t>
        </is>
      </c>
      <c r="C7" s="2" t="inlineStr">
        <is>
          <t>대신 쓴다</t>
        </is>
      </c>
      <c r="D7" s="2" t="inlineStr">
        <is>
          <t>왜</t>
        </is>
      </c>
    </row>
    <row r="8" ht="15" customHeight="1">
      <c r="B8" s="3" t="inlineStr">
        <is>
          <t>재료 · 초안 재료</t>
        </is>
      </c>
      <c r="C8" s="3" t="inlineStr">
        <is>
          <t>근거 · 참고 자료</t>
        </is>
      </c>
      <c r="D8" s="3" t="inlineStr">
        <is>
          <t>HR 어휘가 아니다. 화면도 "행동 근거"라 부른다</t>
        </is>
      </c>
    </row>
    <row r="9" ht="15" customHeight="1">
      <c r="B9" s="3" t="inlineStr">
        <is>
          <t>원장</t>
        </is>
      </c>
      <c r="C9" s="3" t="inlineStr">
        <is>
          <t>기록 · 이력</t>
        </is>
      </c>
      <c r="D9" s="3" t="inlineStr">
        <is>
          <t>회계 용어다</t>
        </is>
      </c>
    </row>
    <row r="10" ht="15" customHeight="1">
      <c r="B10" s="3" t="inlineStr">
        <is>
          <t>판정 · 판정한다</t>
        </is>
      </c>
      <c r="C10" s="3" t="inlineStr">
        <is>
          <t>판단 · 확인</t>
        </is>
      </c>
      <c r="D10" s="3" t="inlineStr">
        <is>
          <t>심사·징계 뉘앙스가 있다</t>
        </is>
      </c>
    </row>
    <row r="11" ht="15" customHeight="1">
      <c r="B11" s="3" t="inlineStr">
        <is>
          <t>억제 · 알림 억제</t>
        </is>
      </c>
      <c r="C11" s="3" t="inlineStr">
        <is>
          <t>알림 조절 · 중복 방지</t>
        </is>
      </c>
      <c r="D11" s="3" t="inlineStr">
        <is>
          <t>통신 용어다</t>
        </is>
      </c>
    </row>
    <row r="12" ht="15" customHeight="1">
      <c r="B12" s="3" t="inlineStr">
        <is>
          <t>스캔 · 스캔포인트</t>
        </is>
      </c>
      <c r="C12" s="3" t="inlineStr">
        <is>
          <t>점검 · 점검 지점</t>
        </is>
      </c>
      <c r="D12" s="3" t="inlineStr"/>
    </row>
    <row r="13" ht="15" customHeight="1">
      <c r="B13" s="3" t="inlineStr">
        <is>
          <t>오알림 · 헛알림</t>
        </is>
      </c>
      <c r="C13" s="3" t="inlineStr">
        <is>
          <t>불필요한 알림</t>
        </is>
      </c>
      <c r="D13" s="3" t="inlineStr"/>
    </row>
    <row r="14" ht="15" customHeight="1">
      <c r="B14" s="3" t="inlineStr">
        <is>
          <t>주체</t>
        </is>
      </c>
      <c r="C14" s="3" t="inlineStr">
        <is>
          <t>수신 대상</t>
        </is>
      </c>
      <c r="D14" s="3" t="inlineStr">
        <is>
          <t>누가 행위자인지 헷갈린다</t>
        </is>
      </c>
    </row>
    <row r="15" ht="15" customHeight="1">
      <c r="B15" s="3" t="inlineStr">
        <is>
          <t>조직원</t>
        </is>
      </c>
      <c r="C15" s="3" t="inlineStr">
        <is>
          <t>구성원</t>
        </is>
      </c>
      <c r="D15" s="3" t="inlineStr">
        <is>
          <t>인사 표준 용어</t>
        </is>
      </c>
    </row>
    <row r="16" ht="15" customHeight="1">
      <c r="B16" s="3" t="inlineStr">
        <is>
          <t>진행 점검</t>
        </is>
      </c>
      <c r="C16" s="3" t="inlineStr">
        <is>
          <t>체크인</t>
        </is>
      </c>
      <c r="D16" s="3" t="inlineStr">
        <is>
          <t>제품이 쓰는 말. 제도 단계명은 "중간점검"</t>
        </is>
      </c>
    </row>
    <row r="17" ht="15" customHeight="1">
      <c r="B17" s="3" t="inlineStr">
        <is>
          <t>펼친다 · 카드 안에 펼친다</t>
        </is>
      </c>
      <c r="C17" s="3" t="inlineStr">
        <is>
          <t>보여드려요 · 카드에서 확인</t>
        </is>
      </c>
      <c r="D17" s="3" t="inlineStr"/>
    </row>
    <row r="18" ht="15" customHeight="1">
      <c r="B18" s="3" t="inlineStr">
        <is>
          <t>손보다</t>
        </is>
      </c>
      <c r="C18" s="3" t="inlineStr">
        <is>
          <t>다듬다 · 조정하다</t>
        </is>
      </c>
      <c r="D18" s="3" t="inlineStr"/>
    </row>
    <row r="19" ht="15" customHeight="1">
      <c r="B19" s="3" t="inlineStr">
        <is>
          <t>띄운다 · 띄우지 않는다</t>
        </is>
      </c>
      <c r="C19" s="3" t="inlineStr">
        <is>
          <t>알려드려요 · 알리지 않아요</t>
        </is>
      </c>
      <c r="D19" s="3" t="inlineStr"/>
    </row>
    <row r="20" ht="15" customHeight="1">
      <c r="B20" s="3" t="inlineStr">
        <is>
          <t>칸 (16칸)</t>
        </is>
      </c>
      <c r="C20" s="3" t="inlineStr">
        <is>
          <t>영역 (16개 영역)</t>
        </is>
      </c>
      <c r="D20" s="3" t="inlineStr"/>
    </row>
    <row r="21" ht="15" customHeight="1">
      <c r="B21" s="3" t="inlineStr">
        <is>
          <t>잔소리</t>
        </is>
      </c>
      <c r="C21" s="3" t="inlineStr">
        <is>
          <t>불필요한 반복 알림</t>
        </is>
      </c>
      <c r="D21" s="3" t="inlineStr"/>
    </row>
    <row r="22" ht="15" customHeight="1">
      <c r="B22" s="3" t="inlineStr">
        <is>
          <t>문제 · 위험 · 이상 · 미흡 · 부진</t>
        </is>
      </c>
      <c r="C22" s="3" t="inlineStr">
        <is>
          <t>조금 어긋나 있어요 · 낮아요 · 멈췄어요</t>
        </is>
      </c>
      <c r="D22" s="3" t="inlineStr">
        <is>
          <t>단정적 판정어는 쓰지 않는다</t>
        </is>
      </c>
    </row>
    <row r="24">
      <c r="B24" s="4" t="inlineStr">
        <is>
          <t>(2) 정본 용어 — 이 표기로 고정</t>
        </is>
      </c>
    </row>
    <row r="25" ht="22" customHeight="1">
      <c r="B25" s="7" t="inlineStr">
        <is>
          <t>영역</t>
        </is>
      </c>
      <c r="C25" s="7" t="inlineStr">
        <is>
          <t>정본</t>
        </is>
      </c>
      <c r="D25" s="7" t="inlineStr">
        <is>
          <t>쓰지 않는 변형</t>
        </is>
      </c>
    </row>
    <row r="26" ht="15" customHeight="1">
      <c r="B26" s="3" t="inlineStr">
        <is>
          <t>수신 대상 4종</t>
        </is>
      </c>
      <c r="C26" s="3" t="inlineStr">
        <is>
          <t>구성원 / 팀장(1차 평가자) / 상위 조직장(2차 평가자) / HR·경영진</t>
        </is>
      </c>
      <c r="D26" s="3" t="inlineStr">
        <is>
          <t>조직원, 조직장(1차), 조직장(2차)</t>
        </is>
      </c>
    </row>
    <row r="27" ht="15" customHeight="1">
      <c r="B27" s="3" t="inlineStr">
        <is>
          <t>제도 단계 4종</t>
        </is>
      </c>
      <c r="C27" s="3" t="inlineStr">
        <is>
          <t>목표수립 / 중간점검 / 평가 / 피드백</t>
        </is>
      </c>
      <c r="D27" s="3" t="inlineStr"/>
    </row>
    <row r="28" ht="15" customHeight="1">
      <c r="B28" s="3" t="inlineStr">
        <is>
          <t>목표 체계</t>
        </is>
      </c>
      <c r="C28" s="3" t="inlineStr">
        <is>
          <t>목표 · 핵심결과 · 상위 목표 · 전략과제</t>
        </is>
      </c>
      <c r="D28" s="3" t="inlineStr">
        <is>
          <t>KR, OKR(본문에서는 풀어쓴다)</t>
        </is>
      </c>
    </row>
    <row r="29" ht="15" customHeight="1">
      <c r="B29" s="3" t="inlineStr">
        <is>
          <t>점검 활동</t>
        </is>
      </c>
      <c r="C29" s="3" t="inlineStr">
        <is>
          <t>체크인</t>
        </is>
      </c>
      <c r="D29" s="3" t="inlineStr">
        <is>
          <t>진행 점검, 진척 점검</t>
        </is>
      </c>
    </row>
    <row r="30" ht="15" customHeight="1">
      <c r="B30" s="3" t="inlineStr">
        <is>
          <t>대화</t>
        </is>
      </c>
      <c r="C30" s="3" t="inlineStr">
        <is>
          <t>1on1 · 결과 면담 · 목표 검토 회의</t>
        </is>
      </c>
      <c r="D30" s="3" t="inlineStr">
        <is>
          <t>대화 잡기</t>
        </is>
      </c>
    </row>
    <row r="31" ht="15" customHeight="1">
      <c r="B31" s="3" t="inlineStr">
        <is>
          <t>평가 산출물</t>
        </is>
      </c>
      <c r="C31" s="3" t="inlineStr">
        <is>
          <t>자기평가 · 1차 평가 · 평가 근거 · 등급</t>
        </is>
      </c>
      <c r="D31" s="3" t="inlineStr"/>
    </row>
    <row r="32" ht="15" customHeight="1">
      <c r="B32" s="3" t="inlineStr">
        <is>
          <t>등급 조정</t>
        </is>
      </c>
      <c r="C32" s="3" t="inlineStr">
        <is>
          <t>등급 조정 회의(calibration) — 첫 등장만 병기</t>
        </is>
      </c>
      <c r="D32" s="3" t="inlineStr"/>
    </row>
    <row r="33" ht="15" customHeight="1">
      <c r="B33" s="3" t="inlineStr">
        <is>
          <t>다면</t>
        </is>
      </c>
      <c r="C33" s="3" t="inlineStr">
        <is>
          <t>다면진단 · 동료 리뷰 · 상향 피드백</t>
        </is>
      </c>
      <c r="D33" s="3" t="inlineStr">
        <is>
          <t>다면 리뷰, 피어 리뷰</t>
        </is>
      </c>
    </row>
    <row r="34" ht="15" customHeight="1">
      <c r="B34" s="3" t="inlineStr">
        <is>
          <t>인사 이동</t>
        </is>
      </c>
      <c r="C34" s="3" t="inlineStr">
        <is>
          <t>발령 · 조직 개편 · 직무 변경</t>
        </is>
      </c>
      <c r="D34" s="3" t="inlineStr"/>
    </row>
    <row r="35" ht="15" customHeight="1">
      <c r="B35" s="3" t="inlineStr">
        <is>
          <t>역량</t>
        </is>
      </c>
      <c r="C35" s="3" t="inlineStr">
        <is>
          <t>직무 프로파일 · 과업 · 역량 · 가중치 · 난이도</t>
        </is>
      </c>
      <c r="D35" s="3" t="inlineStr">
        <is>
          <t>과업 체계, 요구 스킬</t>
        </is>
      </c>
    </row>
    <row r="36" ht="15" customHeight="1">
      <c r="B36" s="3" t="inlineStr">
        <is>
          <t>기록</t>
        </is>
      </c>
      <c r="C36" s="3" t="inlineStr">
        <is>
          <t>활동 기록 · 수정 이력 · 알림 이력 · 발송·열람 기록</t>
        </is>
      </c>
      <c r="D36" s="3" t="inlineStr">
        <is>
          <t>원장, 로그</t>
        </is>
      </c>
    </row>
    <row r="37" ht="15" customHeight="1">
      <c r="B37" s="3" t="inlineStr">
        <is>
          <t>Agent 산출물</t>
        </is>
      </c>
      <c r="C37" s="3" t="inlineStr">
        <is>
          <t>초안</t>
        </is>
      </c>
      <c r="D37" s="3" t="inlineStr">
        <is>
          <t>제안서, 생성물</t>
        </is>
      </c>
    </row>
    <row r="39">
      <c r="B39" s="4" t="inlineStr">
        <is>
          <t>(3) 슬롯별 작성 규칙 — 02_카드문구를 채울 때</t>
        </is>
      </c>
    </row>
    <row r="40" ht="22" customHeight="1">
      <c r="B40" s="5" t="inlineStr">
        <is>
          <t>슬롯 (열)</t>
        </is>
      </c>
      <c r="C40" s="5" t="inlineStr">
        <is>
          <t>길이</t>
        </is>
      </c>
      <c r="D40" s="5" t="inlineStr">
        <is>
          <t>규칙</t>
        </is>
      </c>
      <c r="E40" s="5" t="inlineStr">
        <is>
          <t>예시</t>
        </is>
      </c>
    </row>
    <row r="41" ht="15" customHeight="1">
      <c r="B41" s="3" t="inlineStr">
        <is>
          <t>신호 문장 (G)</t>
        </is>
      </c>
      <c r="C41" s="3" t="inlineStr">
        <is>
          <t>16~26자</t>
        </is>
      </c>
      <c r="D41" s="3" t="inlineStr">
        <is>
          <t>해요체 완결문 + 구체 수치. 물음표 금지</t>
        </is>
      </c>
      <c r="E41" s="3" t="inlineStr">
        <is>
          <t>하위 3개 팀 목표 수립이 30%에 머물러 있어요</t>
        </is>
      </c>
    </row>
    <row r="42" ht="15" customHeight="1">
      <c r="B42" s="3" t="inlineStr">
        <is>
          <t>신호 근거 한 줄 (H)</t>
        </is>
      </c>
      <c r="C42" s="3" t="inlineStr">
        <is>
          <t>18~30자</t>
        </is>
      </c>
      <c r="D42" s="3" t="inlineStr">
        <is>
          <t>제목을 반복하지 말고 왜 지금인지를 말한다</t>
        </is>
      </c>
      <c r="E42" s="3" t="inlineStr">
        <is>
          <t>마감까지 사흘 남았는데 수립률이 평균 아래예요</t>
        </is>
      </c>
    </row>
    <row r="43" ht="15" customHeight="1">
      <c r="B43" s="3" t="inlineStr">
        <is>
          <t>펼침 근거 ①②③ (I·J·K)</t>
        </is>
      </c>
      <c r="C43" s="3" t="inlineStr">
        <is>
          <t>각 20~40자</t>
        </is>
      </c>
      <c r="D43" s="3" t="inlineStr">
        <is>
          <t>한 줄에 사실 하나 + 수치 하나. 순서는 현재 사실 → 비교 기준 → 맥락</t>
        </is>
      </c>
      <c r="E43" s="3" t="inlineStr">
        <is>
          <t>A본부 정렬도 58% (전사 평균 82%)</t>
        </is>
      </c>
    </row>
    <row r="44" ht="15" customHeight="1">
      <c r="B44" s="3" t="inlineStr">
        <is>
          <t>초안 라벨 (L)</t>
        </is>
      </c>
      <c r="C44" s="3" t="inlineStr"/>
      <c r="D44" s="3" t="inlineStr">
        <is>
          <t>"행동 · OOO 초안 (수정할 수 있어요)" 형식 고정</t>
        </is>
      </c>
      <c r="E44" s="3" t="inlineStr">
        <is>
          <t>행동 · 1on1 아젠다 초안 (수정할 수 있어요)</t>
        </is>
      </c>
    </row>
    <row r="45" ht="15" customHeight="1">
      <c r="B45" s="3" t="inlineStr">
        <is>
          <t>초안 본문 (M)</t>
        </is>
      </c>
      <c r="C45" s="3" t="inlineStr">
        <is>
          <t>60~180자</t>
        </is>
      </c>
      <c r="D45" s="3" t="inlineStr">
        <is>
          <t>사람이 그대로 제출할 수 있는 완성 문장. 여기만 문서체</t>
        </is>
      </c>
      <c r="E45" s="3" t="inlineStr">
        <is>
          <t>지난 2주 진척이 멈춘 배경을 확인하고 필요한 지원을 정리합니다.</t>
        </is>
      </c>
    </row>
    <row r="46" ht="15" customHeight="1">
      <c r="B46" s="3" t="inlineStr">
        <is>
          <t>확정 버튼 (N)</t>
        </is>
      </c>
      <c r="C46" s="3" t="inlineStr">
        <is>
          <t>5~12자</t>
        </is>
      </c>
      <c r="D46" s="3" t="inlineStr">
        <is>
          <t>동사로 끝낸다</t>
        </is>
      </c>
      <c r="E46" s="3" t="inlineStr">
        <is>
          <t>이 아젠다로 1on1 잡기</t>
        </is>
      </c>
    </row>
    <row r="47" ht="15" customHeight="1">
      <c r="B47" s="3" t="inlineStr">
        <is>
          <t>Agent 첫 말 (O)</t>
        </is>
      </c>
      <c r="C47" s="3" t="inlineStr">
        <is>
          <t>25~45자</t>
        </is>
      </c>
      <c r="D47" s="3" t="inlineStr">
        <is>
          <t>무엇을 했는지 + 무엇을 도와줄지. 물음표는 여기서만</t>
        </is>
      </c>
      <c r="E47" s="3" t="inlineStr">
        <is>
          <t>아젠다를 만들어봤어요. 톤을 조정해드릴까요?</t>
        </is>
      </c>
    </row>
    <row r="48" ht="15" customHeight="1">
      <c r="B48" s="3" t="inlineStr">
        <is>
          <t>후속 요청 버튼 (P)</t>
        </is>
      </c>
      <c r="C48" s="3" t="inlineStr">
        <is>
          <t>각 4~12자</t>
        </is>
      </c>
      <c r="D48" s="3" t="inlineStr">
        <is>
          <t>초안을 어떻게 바꿀지</t>
        </is>
      </c>
      <c r="E48" s="3" t="inlineStr">
        <is>
          <t>더 부드럽게 · 실행 계획 중심으로</t>
        </is>
      </c>
    </row>
    <row r="49" ht="15" customHeight="1">
      <c r="B49" s="3" t="inlineStr">
        <is>
          <t>완료 제목 (Q)</t>
        </is>
      </c>
      <c r="C49" s="3" t="inlineStr">
        <is>
          <t>8~16자</t>
        </is>
      </c>
      <c r="D49" s="3" t="inlineStr">
        <is>
          <t>과거형 해요체</t>
        </is>
      </c>
      <c r="E49" s="3" t="inlineStr">
        <is>
          <t>1on1이 예약됐어요</t>
        </is>
      </c>
    </row>
    <row r="50" ht="15" customHeight="1">
      <c r="B50" s="3" t="inlineStr">
        <is>
          <t>완료 부연 (R)</t>
        </is>
      </c>
      <c r="C50" s="3" t="inlineStr">
        <is>
          <t>18~34자</t>
        </is>
      </c>
      <c r="D50" s="3" t="inlineStr">
        <is>
          <t>무엇이 어디에 남았는지. 문서체</t>
        </is>
      </c>
      <c r="E50" s="3" t="inlineStr">
        <is>
          <t>아젠다가 B님과 공유됐습니다.</t>
        </is>
      </c>
    </row>
    <row r="52" ht="30" customHeight="1">
      <c r="B52" s="6" t="inlineStr">
        <is>
          <t>문장이 바뀌어 온 자취 — v0.1 "하위 3개 팀이 목표를 아직 안 세웠어요"(수치 없음) → v0.2 "하위 3개 팀 수립률 30% 미만"(명사구, 카드 화면 톤과 불일치) → v0.3 "하위 3개 팀 목표 수립이 30%에 머물러 있어요"(해요체 + 수치). 목표 화면인 performance-agent-card-feed.html이 해요체를 쓰므로 v0.3이 맞다.</t>
        </is>
      </c>
    </row>
    <row r="54">
      <c r="B54" s="4" t="inlineStr">
        <is>
          <t>(4) 근거 쓰는 규칙 4가지</t>
        </is>
      </c>
    </row>
    <row r="55" ht="22" customHeight="1">
      <c r="B55" s="12" t="inlineStr">
        <is>
          <t>항목</t>
        </is>
      </c>
      <c r="C55" s="12" t="inlineStr">
        <is>
          <t>내용</t>
        </is>
      </c>
      <c r="D55" s="12" t="inlineStr">
        <is>
          <t>이렇게 쓰지 말고</t>
        </is>
      </c>
      <c r="E55" s="12" t="inlineStr">
        <is>
          <t>이렇게</t>
        </is>
      </c>
    </row>
    <row r="56" ht="15" customHeight="1">
      <c r="B56" s="3" t="inlineStr">
        <is>
          <t>한 줄에 한 사실</t>
        </is>
      </c>
      <c r="C56" s="3" t="inlineStr">
        <is>
          <t>근거 한 줄 = 사실 하나 + 출처 하나</t>
        </is>
      </c>
      <c r="D56" s="3" t="inlineStr">
        <is>
          <t>진척이 낮다</t>
        </is>
      </c>
      <c r="E56" s="3" t="inlineStr">
        <is>
          <t>핵심결과 "전환율 개선" 진척 42%</t>
        </is>
      </c>
    </row>
    <row r="57" ht="15" customHeight="1">
      <c r="B57" s="3" t="inlineStr">
        <is>
          <t>비교 기준 붙이기</t>
        </is>
      </c>
      <c r="C57" s="3" t="inlineStr">
        <is>
          <t>숫자만 있으면 이상한지 알 수 없다</t>
        </is>
      </c>
      <c r="D57" s="3" t="inlineStr">
        <is>
          <t>42%</t>
        </is>
      </c>
      <c r="E57" s="3" t="inlineStr">
        <is>
          <t>42% (팀 평균 71%)</t>
        </is>
      </c>
    </row>
    <row r="58" ht="15" customHeight="1">
      <c r="B58" s="3" t="inlineStr">
        <is>
          <t>언제 기준인지 쓰기</t>
        </is>
      </c>
      <c r="C58" s="3" t="inlineStr">
        <is>
          <t>모든 근거에 기준 시점을 붙인다</t>
        </is>
      </c>
      <c r="D58" s="3" t="inlineStr">
        <is>
          <t>현재 진척 42%</t>
        </is>
      </c>
      <c r="E58" s="3" t="inlineStr">
        <is>
          <t>7월 16일 기준 진척 42%</t>
        </is>
      </c>
    </row>
    <row r="59" ht="15" customHeight="1">
      <c r="B59" s="3" t="inlineStr">
        <is>
          <t>3줄까지</t>
        </is>
      </c>
      <c r="C59" s="3" t="inlineStr">
        <is>
          <t>그보다 길면 접어 둔다</t>
        </is>
      </c>
      <c r="D59" s="3" t="inlineStr">
        <is>
          <t>근거 10줄 나열</t>
        </is>
      </c>
      <c r="E59" s="3" t="inlineStr">
        <is>
          <t>핵심 3줄 + 나머지는 접기</t>
        </is>
      </c>
    </row>
    <row r="61" ht="30" customHeight="1">
      <c r="B61" s="6" t="inlineStr">
        <is>
          <t>비교 기준은 4가지 중 하나를 고른다 — ① 본인의 예전 기록 ② 같은 팀·같은 직무 평균 ③ 계획 대비 ④ 제도 기준값. 근거 한 줄마다 어느 기록에서 나온 것인지(목표 번호 · 핵심결과 번호 · 체크인 번호)를 함께 적는다. 나중에 확인하는 일, 카드에서 해당 화면으로 바로 넘어가는 기능이 전부 이 표시에서 나온다.</t>
        </is>
      </c>
    </row>
    <row r="63">
      <c r="B63" s="4" t="inlineStr">
        <is>
          <t>(5) 카드가 뜬 뒤 남길 기록</t>
        </is>
      </c>
    </row>
    <row r="64" ht="22" customHeight="1">
      <c r="B64" s="2" t="inlineStr">
        <is>
          <t>묶음</t>
        </is>
      </c>
      <c r="C64" s="2" t="inlineStr">
        <is>
          <t>남길 것</t>
        </is>
      </c>
      <c r="D64" s="2" t="inlineStr">
        <is>
          <t>여기서 알 수 있는 것</t>
        </is>
      </c>
    </row>
    <row r="65" ht="15" customHeight="1">
      <c r="B65" s="3" t="inlineStr">
        <is>
          <t>떴을 때</t>
        </is>
      </c>
      <c r="C65" s="3" t="inlineStr">
        <is>
          <t>신호 ID, 규칙 버전, 뜬 시각, 어느 시점 기준인지</t>
        </is>
      </c>
      <c r="D65" s="3" t="inlineStr">
        <is>
          <t>규칙을 고쳤을 때 전보다 나아졌는지</t>
        </is>
      </c>
    </row>
    <row r="66" ht="15" customHeight="1">
      <c r="B66" s="3" t="inlineStr">
        <is>
          <t>누구에게</t>
        </is>
      </c>
      <c r="C66" s="3" t="inlineStr">
        <is>
          <t>대상자, 수신 대상 구분, 범위(본인/팀원/팀/조직)</t>
        </is>
      </c>
      <c r="D66" s="3" t="inlineStr">
        <is>
          <t>대상별로 카드가 몇 장씩 가는지</t>
        </is>
      </c>
    </row>
    <row r="67" ht="15" customHeight="1">
      <c r="B67" s="3" t="inlineStr">
        <is>
          <t>무엇을 보고</t>
        </is>
      </c>
      <c r="C67" s="3" t="inlineStr">
        <is>
          <t>신호 유형, 참조한 기록 번호, 계산 결과값</t>
        </is>
      </c>
      <c r="D67" s="3" t="inlineStr">
        <is>
          <t>어떤 유형이 불필요한 알림이 많은지</t>
        </is>
      </c>
    </row>
    <row r="68" ht="15" customHeight="1">
      <c r="B68" s="3" t="inlineStr">
        <is>
          <t>근거</t>
        </is>
      </c>
      <c r="C68" s="3" t="inlineStr">
        <is>
          <t>사실 · 숫자 · 비교 기준 · 출처 · 기준 시점</t>
        </is>
      </c>
      <c r="D68" s="3" t="inlineStr">
        <is>
          <t>근거를 펼쳐 보는 비율</t>
        </is>
      </c>
    </row>
    <row r="69" ht="30" customHeight="1">
      <c r="B69" s="3" t="inlineStr">
        <is>
          <t>행동과 결과</t>
        </is>
      </c>
      <c r="C69" s="3" t="inlineStr">
        <is>
          <t>행동 유형, 초안 생성 여부, 열어본 시각, 결과(확정/고쳐서 확정/무시/기한 지남), 저장된 기록 번호</t>
        </is>
      </c>
      <c r="D69" s="3" t="inlineStr">
        <is>
          <t>확정 비율, 고쳐서 확정한 비율, 무시 비율</t>
        </is>
      </c>
    </row>
    <row r="70" ht="15" customHeight="1">
      <c r="B70" s="3" t="inlineStr">
        <is>
          <t>안 띄운 경우</t>
        </is>
      </c>
      <c r="C70" s="3" t="inlineStr">
        <is>
          <t>안 띄운 이유, 다시 띄울 수 있는 시각, 대신 뜬 상위 신호 ID</t>
        </is>
      </c>
      <c r="D70" s="3" t="inlineStr">
        <is>
          <t>알림을 잘 줄이고 있는지</t>
        </is>
      </c>
    </row>
    <row r="72" ht="22" customHeight="1">
      <c r="B72" s="2" t="inlineStr">
        <is>
          <t>이 수치가</t>
        </is>
      </c>
      <c r="C72" s="2" t="inlineStr">
        <is>
          <t>이런 뜻이다</t>
        </is>
      </c>
    </row>
    <row r="73" ht="15" customHeight="1">
      <c r="B73" s="3" t="inlineStr">
        <is>
          <t>열어본 비율이 낮다</t>
        </is>
      </c>
      <c r="C73" s="3" t="inlineStr">
        <is>
          <t>신호 문장이 안 끌리거나 알림 채널이 안 맞다</t>
        </is>
      </c>
    </row>
    <row r="74" ht="15" customHeight="1">
      <c r="B74" s="3" t="inlineStr">
        <is>
          <t>근거를 펼쳐 본 비율이 낮다</t>
        </is>
      </c>
      <c r="C74" s="3" t="inlineStr">
        <is>
          <t>근거를 볼 필요 없는 카드 = 굳이 없어도 되는 카드</t>
        </is>
      </c>
    </row>
    <row r="75" ht="15" customHeight="1">
      <c r="B75" s="3" t="inlineStr">
        <is>
          <t>고쳐서 확정한 비율이 높다</t>
        </is>
      </c>
      <c r="C75" s="3" t="inlineStr">
        <is>
          <t>초안 근거가 부족하다</t>
        </is>
      </c>
    </row>
    <row r="76" ht="15" customHeight="1">
      <c r="B76" s="3" t="inlineStr">
        <is>
          <t>무시 비율이 높다</t>
        </is>
      </c>
      <c r="C76" s="3" t="inlineStr">
        <is>
          <t>카드가 뜨는 조건이 너무 예민하다</t>
        </is>
      </c>
    </row>
    <row r="77" ht="15" customHeight="1">
      <c r="B77" s="3" t="inlineStr">
        <is>
          <t>열고도 아무것도 안 한 비율이 높다</t>
        </is>
      </c>
      <c r="C77" s="3" t="inlineStr">
        <is>
          <t>확정 버튼이 무엇을 하는지 불분명하다</t>
        </is>
      </c>
    </row>
  </sheetData>
  <mergeCells count="3">
    <mergeCell ref="B4:F4"/>
    <mergeCell ref="B61:F61"/>
    <mergeCell ref="B52:F52"/>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2026-07-28T11:26:03Z</dcterms:created>
  <dcterms:modified xmlns:dcterms="http://purl.org/dc/terms/" xmlns:xsi="http://www.w3.org/2001/XMLSchema-instance" xsi:type="dcterms:W3CDTF">2026-07-28T11:26:03Z</dcterms:modified>
</cp:coreProperties>
</file>